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D:\LGE Project\Safety Analysis\PRR Reports\APCORE reports\"/>
    </mc:Choice>
  </mc:AlternateContent>
  <xr:revisionPtr revIDLastSave="0" documentId="10_ncr:100000_{AE8D0ED5-9AAE-4951-A064-F485C91138C8}" xr6:coauthVersionLast="31" xr6:coauthVersionMax="31" xr10:uidLastSave="{00000000-0000-0000-0000-000000000000}"/>
  <bookViews>
    <workbookView xWindow="0" yWindow="0" windowWidth="9420" windowHeight="7170" tabRatio="830" xr2:uid="{00000000-000D-0000-FFFF-FFFF00000000}"/>
  </bookViews>
  <sheets>
    <sheet name="Summary" sheetId="1" r:id="rId1"/>
    <sheet name="References" sheetId="2" r:id="rId2"/>
    <sheet name="Review Checks" sheetId="20" r:id="rId3"/>
    <sheet name="Defect Log-Omkarnath" sheetId="4" r:id="rId4"/>
    <sheet name="Defect Log-Mooga Venkatesh" sheetId="11" r:id="rId5"/>
    <sheet name="Defect Log-Noolu Narendra Reddy" sheetId="12" r:id="rId6"/>
  </sheets>
  <functionGroups builtInGroupCount="19"/>
  <externalReferences>
    <externalReference r:id="rId7"/>
    <externalReference r:id="rId8"/>
  </externalReferences>
  <definedNames>
    <definedName name="Consumer">#REF!</definedName>
    <definedName name="_xlnm.Print_Area" localSheetId="0">Summary!$A$1:$F$44</definedName>
    <definedName name="Provider">#REF!</definedName>
    <definedName name="ProviderConsumer">[1]List!$E$1:$E$14</definedName>
    <definedName name="QualityCM">#REF!</definedName>
  </definedNames>
  <calcPr calcId="179017"/>
</workbook>
</file>

<file path=xl/calcChain.xml><?xml version="1.0" encoding="utf-8"?>
<calcChain xmlns="http://schemas.openxmlformats.org/spreadsheetml/2006/main">
  <c r="E44" i="1" l="1"/>
  <c r="E43" i="1"/>
  <c r="E42" i="1"/>
  <c r="F35" i="1"/>
  <c r="F36" i="1"/>
  <c r="F37" i="1"/>
  <c r="F38" i="1"/>
  <c r="F34" i="1"/>
  <c r="D44" i="1" l="1"/>
  <c r="C44" i="1"/>
  <c r="D43" i="1"/>
  <c r="C43" i="1"/>
  <c r="D42" i="1"/>
  <c r="C42" i="1"/>
  <c r="F42" i="1" s="1"/>
  <c r="F43" i="1" l="1"/>
  <c r="F44"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Arun Mozhi</author>
  </authors>
  <commentList>
    <comment ref="B14" authorId="0" shapeId="0" xr:uid="{E6F2B1C1-4494-427C-A7E8-A07E99E01776}">
      <text>
        <r>
          <rPr>
            <sz val="9"/>
            <color indexed="81"/>
            <rFont val="Tahoma"/>
            <family val="2"/>
          </rPr>
          <t xml:space="preserve">Target version of work product under review.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Arun Mozhi</author>
  </authors>
  <commentList>
    <comment ref="B2" authorId="0" shapeId="0" xr:uid="{AE2AB747-545D-4969-9B4D-006D8EE8C678}">
      <text>
        <r>
          <rPr>
            <b/>
            <sz val="9"/>
            <color indexed="81"/>
            <rFont val="Tahoma"/>
            <family val="2"/>
          </rPr>
          <t>Arun Mozhi:</t>
        </r>
        <r>
          <rPr>
            <sz val="9"/>
            <color indexed="81"/>
            <rFont val="Tahoma"/>
            <family val="2"/>
          </rPr>
          <t xml:space="preserve">
1. In this table, only inputs, referrerd documents,  and CRs should be included.
2. Work products should not be specified in the table. They should be specified only in Product Details section in Summary worksheet.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Chandana C S</author>
  </authors>
  <commentList>
    <comment ref="G4" authorId="0" shapeId="0" xr:uid="{7736EEB0-CCAE-4E33-829E-67CE91AF2746}">
      <text>
        <r>
          <rPr>
            <sz val="9"/>
            <color indexed="81"/>
            <rFont val="Tahoma"/>
            <family val="2"/>
          </rPr>
          <t>1. Manual  - Check performed by reviewer.
2. Tool - Automatic verification by a tool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Arun Mozhi</author>
  </authors>
  <commentList>
    <comment ref="J6" authorId="0" shapeId="0" xr:uid="{8B446356-B32D-433F-8741-541EBAFD565E}">
      <text>
        <r>
          <rPr>
            <b/>
            <sz val="9"/>
            <color indexed="81"/>
            <rFont val="Tahoma"/>
            <family val="2"/>
          </rPr>
          <t>Arun Mozhi:</t>
        </r>
        <r>
          <rPr>
            <sz val="9"/>
            <color indexed="81"/>
            <rFont val="Tahoma"/>
            <family val="2"/>
          </rPr>
          <t xml:space="preserve">
If any review comment is to be rejected, Author should concur with Reviewer or Moderator.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Arun Mozhi</author>
  </authors>
  <commentList>
    <comment ref="J6" authorId="0" shapeId="0" xr:uid="{1C26808A-6FEA-4825-A67F-944C368D7C83}">
      <text>
        <r>
          <rPr>
            <b/>
            <sz val="9"/>
            <color indexed="81"/>
            <rFont val="Tahoma"/>
            <family val="2"/>
          </rPr>
          <t>Arun Mozhi:</t>
        </r>
        <r>
          <rPr>
            <sz val="9"/>
            <color indexed="81"/>
            <rFont val="Tahoma"/>
            <family val="2"/>
          </rPr>
          <t xml:space="preserve">
If any review comment is to be rejected, Author should concur with Reviewer or Moderator.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Arun Mozhi</author>
  </authors>
  <commentList>
    <comment ref="J6" authorId="0" shapeId="0" xr:uid="{046165F1-C9D2-4843-8E6A-D528A22310E1}">
      <text>
        <r>
          <rPr>
            <b/>
            <sz val="9"/>
            <color indexed="81"/>
            <rFont val="Tahoma"/>
            <family val="2"/>
          </rPr>
          <t>Arun Mozhi:</t>
        </r>
        <r>
          <rPr>
            <sz val="9"/>
            <color indexed="81"/>
            <rFont val="Tahoma"/>
            <family val="2"/>
          </rPr>
          <t xml:space="preserve">
If any review comment is to be rejected, Author should concur with Reviewer or Moderator. </t>
        </r>
      </text>
    </comment>
  </commentList>
</comments>
</file>

<file path=xl/sharedStrings.xml><?xml version="1.0" encoding="utf-8"?>
<sst xmlns="http://schemas.openxmlformats.org/spreadsheetml/2006/main" count="264" uniqueCount="121">
  <si>
    <t>Date</t>
  </si>
  <si>
    <t>Customer Name</t>
  </si>
  <si>
    <t>Project Name</t>
  </si>
  <si>
    <t>Sl. No.</t>
  </si>
  <si>
    <t>Note:</t>
  </si>
  <si>
    <t>Peer Review Record</t>
  </si>
  <si>
    <t>Project Phase</t>
  </si>
  <si>
    <t>Work Product</t>
  </si>
  <si>
    <t>Project Manager</t>
  </si>
  <si>
    <t>Location (prereview)</t>
  </si>
  <si>
    <t>Location (storage)</t>
  </si>
  <si>
    <t>Product Details</t>
  </si>
  <si>
    <t>Moderator</t>
  </si>
  <si>
    <t>Author</t>
  </si>
  <si>
    <t>Reviewer 1</t>
  </si>
  <si>
    <t>View</t>
  </si>
  <si>
    <t>Reviewer 2</t>
  </si>
  <si>
    <t>Reviewer 3</t>
  </si>
  <si>
    <t>Schedule</t>
  </si>
  <si>
    <t>Date of Initiation</t>
  </si>
  <si>
    <t>Briefing Meeting</t>
  </si>
  <si>
    <t>Review Meeting</t>
  </si>
  <si>
    <t>Date of Closure</t>
  </si>
  <si>
    <t>Configuration Id.</t>
  </si>
  <si>
    <t>Defect Log</t>
  </si>
  <si>
    <t>Reviewer Name</t>
  </si>
  <si>
    <t>Remarks
(by Moderator/Author)</t>
  </si>
  <si>
    <t>Major</t>
  </si>
  <si>
    <t>Minor</t>
  </si>
  <si>
    <t>Trivial</t>
  </si>
  <si>
    <t>Category
(by Reviewer)</t>
  </si>
  <si>
    <t>Defect Description
(by Reviewer)</t>
  </si>
  <si>
    <t>Defect Category</t>
  </si>
  <si>
    <t>Total</t>
  </si>
  <si>
    <t>Status
(by Author during Rework and before Closure)</t>
  </si>
  <si>
    <t>Defect Summary</t>
  </si>
  <si>
    <t xml:space="preserve">Preparation </t>
  </si>
  <si>
    <t>Effort category</t>
  </si>
  <si>
    <t>Review</t>
  </si>
  <si>
    <t>Karthikeya S M</t>
  </si>
  <si>
    <t>Referred Documents</t>
  </si>
  <si>
    <t>Participant Details</t>
  </si>
  <si>
    <t>Effort Details (in hours)</t>
  </si>
  <si>
    <t>Project Code</t>
  </si>
  <si>
    <t>Inputs/Referred Documents/CRs</t>
  </si>
  <si>
    <t xml:space="preserve"> Paths in Repository/Issue Trackers</t>
  </si>
  <si>
    <r>
      <t xml:space="preserve">If there are more than 6 documents, add them before </t>
    </r>
    <r>
      <rPr>
        <i/>
        <sz val="11"/>
        <color theme="1"/>
        <rFont val="Calibri"/>
        <family val="2"/>
        <scheme val="minor"/>
      </rPr>
      <t>General</t>
    </r>
    <r>
      <rPr>
        <sz val="11"/>
        <color theme="1"/>
        <rFont val="Calibri"/>
        <family val="2"/>
        <scheme val="minor"/>
      </rPr>
      <t>.</t>
    </r>
  </si>
  <si>
    <t>SVN Revision #/
Bitbucket Commit #</t>
  </si>
  <si>
    <t>Section No./ Page No./
Issue No.</t>
  </si>
  <si>
    <t>Target Version</t>
  </si>
  <si>
    <t>Closure</t>
  </si>
  <si>
    <t>Resolution
(by Author before/ after Concurrence Meeting)</t>
  </si>
  <si>
    <t>Verification Status
(by Reviewer/ Moderator for Closure)</t>
  </si>
  <si>
    <t>Project Details</t>
  </si>
  <si>
    <t>Peer Review Checklist for Safety Analysis</t>
  </si>
  <si>
    <t xml:space="preserve">Category/
Quality Factor
</t>
  </si>
  <si>
    <t>Description</t>
  </si>
  <si>
    <t>Check</t>
  </si>
  <si>
    <t>Check Method</t>
  </si>
  <si>
    <t>Remarks</t>
  </si>
  <si>
    <t>Provider</t>
  </si>
  <si>
    <t>--</t>
  </si>
  <si>
    <t>Safety analysis has analysed the architecture with reference to all the input documents that includes module's assumed safety requirements.</t>
  </si>
  <si>
    <t>Manual</t>
  </si>
  <si>
    <t>Safety  Analysis has addressed the complete architecture design of the module I.e., all the APIs and main function are covered in the module.</t>
  </si>
  <si>
    <t>For every failure mode identified, the root cause associated is selected and impact on the module is described.</t>
  </si>
  <si>
    <t>Additional safety measures are provided wherever safety goal violation is identified.</t>
  </si>
  <si>
    <t xml:space="preserve">For every safety goal violation identified, additional safety measure shall be described.                           </t>
  </si>
  <si>
    <t>Consumer</t>
  </si>
  <si>
    <t>Safety measures that are already existing in the module shall be described in a Existing Safety Measures sheet.</t>
  </si>
  <si>
    <t>All recommended actions along with their respective additional safety measures are consolidated in 'Recommended Actions' sheet.</t>
  </si>
  <si>
    <t>For every safety goal addressed by the module, Existing Safety Measures (ESM) shall be provided.</t>
  </si>
  <si>
    <t>Input documents required for the performing safety analysis shall be  listed in summary.</t>
  </si>
  <si>
    <t>Abbreviations shall be updated for all the abbreviated words.</t>
  </si>
  <si>
    <t>Quality</t>
  </si>
  <si>
    <t>The analysis document shall be free from spelling mistakes and grammar mistakes.</t>
  </si>
  <si>
    <t>Project detail shall contain the name of Module identified for which safety analysis is carried out.</t>
  </si>
  <si>
    <t>Input documents required for the project shall be listed.</t>
  </si>
  <si>
    <t>Support notes provided shall not be duplicate of each other.</t>
  </si>
  <si>
    <t>There are no support notes provided for the artefact.</t>
  </si>
  <si>
    <t>Safety Analysis sheet shall be free from ambiguity and the sentences should be easily understandable.</t>
  </si>
  <si>
    <t>CM</t>
  </si>
  <si>
    <t>Config ID for the document shall be provided in the Project details sheet.</t>
  </si>
  <si>
    <t>Noolu Narendra Reddy</t>
  </si>
  <si>
    <t>Mekala Nava Nandini</t>
  </si>
  <si>
    <t>Quality and CM</t>
  </si>
  <si>
    <t>LG Electronics</t>
  </si>
  <si>
    <t>A00056</t>
  </si>
  <si>
    <t>Safety Analysis</t>
  </si>
  <si>
    <t>Nandanwar Yogesh Parmanand/ Kavitha Nayak</t>
  </si>
  <si>
    <t>Not Applicable</t>
  </si>
  <si>
    <t>Review Checks</t>
  </si>
  <si>
    <t>Omkarnath surendrakumar naik</t>
  </si>
  <si>
    <t>Mooga Venkatesh</t>
  </si>
  <si>
    <t>Omkarnath surendrakumar</t>
  </si>
  <si>
    <t>Safety Analysis Report of APCORE</t>
  </si>
  <si>
    <t>SafeAdaptiveR2011-APCORE-SAR</t>
  </si>
  <si>
    <t>1.0.0</t>
  </si>
  <si>
    <t>Browse A00056 / core - Bitbucket (avinsystems.com)</t>
  </si>
  <si>
    <t>In SAR kindly update template version number in comments field.</t>
  </si>
  <si>
    <t>Update file name "SafeAdaptiveR2011_AdaptiveCore_SAR.xlsx" as "SafeAdaptiveR2011_APCORE_SAR.xlsx</t>
  </si>
  <si>
    <t>In SAR title page kindly update project name with '--'</t>
  </si>
  <si>
    <t>In SAR kindly update "Core" sheet name as per the template.</t>
  </si>
  <si>
    <t>Accepted</t>
  </si>
  <si>
    <t>Done</t>
  </si>
  <si>
    <t>Closed</t>
  </si>
  <si>
    <t>Verified</t>
  </si>
  <si>
    <t>NA</t>
  </si>
  <si>
    <t>Software Architectural Design of APCORE, V1.0.0</t>
  </si>
  <si>
    <t>http://192.168.1.17:4909/cb/tracker/2192923?view_id=-2</t>
  </si>
  <si>
    <t>SafeAdaptiveR2011-APCORE-EAP.eap, V1.0.0</t>
  </si>
  <si>
    <t>Browse A00056 / project-management - Bitbucket (avinsystems.com)</t>
  </si>
  <si>
    <t>ShortProjectName_SAR.xlsx</t>
  </si>
  <si>
    <t>ShortProjectName_APCORE_SAR.xlsx</t>
  </si>
  <si>
    <t>File properties</t>
  </si>
  <si>
    <t xml:space="preserve">Review Checks #16
</t>
  </si>
  <si>
    <t>File name</t>
  </si>
  <si>
    <t>Title page</t>
  </si>
  <si>
    <t>Core Sheet</t>
  </si>
  <si>
    <t>AUTOSAR_SWS_AdaptiveCore .pdf</t>
  </si>
  <si>
    <t>No Findings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</si>
</sst>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d\-mmm\-yyyy;@"/>
    <numFmt numFmtId="165" formatCode="[$-409]d\-mmm\-yy;@"/>
  </numFmts>
  <fonts count="16" x14ac:knownFonts="1">
    <font>
      <sz val="11"/>
      <color theme="1"/>
      <name val="Calibri"/>
      <family val="2"/>
      <scheme val="minor"/>
    </font>
    <font>
      <b/>
      <sz val="12"/>
      <color theme="1"/>
      <name val="Calibri"/>
      <family val="2"/>
      <scheme val="minor"/>
    </font>
    <font>
      <sz val="12"/>
      <color theme="1"/>
      <name val="Calibri"/>
      <family val="2"/>
      <scheme val="minor"/>
    </font>
    <font>
      <b/>
      <sz val="14"/>
      <color theme="1"/>
      <name val="Calibri"/>
      <family val="2"/>
      <scheme val="minor"/>
    </font>
    <font>
      <b/>
      <sz val="11"/>
      <color theme="1"/>
      <name val="Calibri"/>
      <family val="2"/>
      <scheme val="minor"/>
    </font>
    <font>
      <sz val="8"/>
      <name val="Calibri"/>
      <family val="2"/>
      <scheme val="minor"/>
    </font>
    <font>
      <b/>
      <sz val="13"/>
      <color theme="1"/>
      <name val="Calibri"/>
      <family val="2"/>
      <scheme val="minor"/>
    </font>
    <font>
      <b/>
      <sz val="10"/>
      <color rgb="FF000000"/>
      <name val="Calibri"/>
      <family val="2"/>
    </font>
    <font>
      <i/>
      <sz val="11"/>
      <color theme="1"/>
      <name val="Calibri"/>
      <family val="2"/>
      <scheme val="minor"/>
    </font>
    <font>
      <sz val="9"/>
      <color indexed="81"/>
      <name val="Tahoma"/>
      <family val="2"/>
    </font>
    <font>
      <b/>
      <sz val="9"/>
      <color indexed="81"/>
      <name val="Tahoma"/>
      <family val="2"/>
    </font>
    <font>
      <b/>
      <sz val="11"/>
      <name val="Calibri"/>
      <family val="2"/>
      <scheme val="minor"/>
    </font>
    <font>
      <sz val="11"/>
      <color theme="1"/>
      <name val="Calibri"/>
      <family val="2"/>
      <scheme val="minor"/>
    </font>
    <font>
      <sz val="11"/>
      <color rgb="FF000000"/>
      <name val="Calibri"/>
      <family val="2"/>
      <scheme val="minor"/>
    </font>
    <font>
      <u/>
      <sz val="11"/>
      <color theme="10"/>
      <name val="Calibri"/>
      <family val="2"/>
      <scheme val="minor"/>
    </font>
    <font>
      <sz val="11"/>
      <name val="Calibri"/>
      <family val="2"/>
      <scheme val="minor"/>
    </font>
  </fonts>
  <fills count="7">
    <fill>
      <patternFill patternType="none"/>
    </fill>
    <fill>
      <patternFill patternType="gray125"/>
    </fill>
    <fill>
      <patternFill patternType="solid">
        <fgColor theme="0"/>
        <bgColor indexed="64"/>
      </patternFill>
    </fill>
    <fill>
      <patternFill patternType="solid">
        <fgColor rgb="FFAAF4CD"/>
        <bgColor indexed="64"/>
      </patternFill>
    </fill>
    <fill>
      <patternFill patternType="solid">
        <fgColor rgb="FFDEEAF6"/>
        <bgColor indexed="64"/>
      </patternFill>
    </fill>
    <fill>
      <patternFill patternType="solid">
        <fgColor theme="0" tint="-4.9989318521683403E-2"/>
        <bgColor indexed="64"/>
      </patternFill>
    </fill>
    <fill>
      <patternFill patternType="solid">
        <fgColor rgb="FFF5F5F5"/>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14" fillId="0" borderId="0" applyNumberFormat="0" applyFill="0" applyBorder="0" applyAlignment="0" applyProtection="0"/>
  </cellStyleXfs>
  <cellXfs count="78">
    <xf numFmtId="0" fontId="0" fillId="0" borderId="0" xfId="0"/>
    <xf numFmtId="0" fontId="0" fillId="0" borderId="0" xfId="0" applyAlignment="1">
      <alignment vertical="top"/>
    </xf>
    <xf numFmtId="0" fontId="0" fillId="0" borderId="0" xfId="0" applyAlignment="1">
      <alignment vertical="top" wrapText="1"/>
    </xf>
    <xf numFmtId="0" fontId="0" fillId="0" borderId="0" xfId="0" applyAlignment="1">
      <alignment horizontal="left" vertical="top"/>
    </xf>
    <xf numFmtId="0" fontId="0" fillId="0" borderId="0" xfId="0" applyAlignment="1">
      <alignment horizontal="left" vertical="top" wrapText="1"/>
    </xf>
    <xf numFmtId="0" fontId="0" fillId="0" borderId="0" xfId="0" applyAlignment="1">
      <alignment horizontal="left" vertical="center" wrapText="1"/>
    </xf>
    <xf numFmtId="0" fontId="2" fillId="6" borderId="1" xfId="0" applyFont="1" applyFill="1" applyBorder="1" applyAlignment="1">
      <alignment horizontal="left" vertical="center" wrapText="1"/>
    </xf>
    <xf numFmtId="0" fontId="4" fillId="4" borderId="1" xfId="0" applyFont="1" applyFill="1" applyBorder="1" applyAlignment="1">
      <alignment horizontal="center" vertical="center" wrapText="1"/>
    </xf>
    <xf numFmtId="0" fontId="4" fillId="4" borderId="2" xfId="0" applyFont="1" applyFill="1" applyBorder="1" applyAlignment="1" applyProtection="1">
      <alignment horizontal="left" vertical="top" wrapText="1"/>
      <protection locked="0"/>
    </xf>
    <xf numFmtId="0" fontId="0" fillId="0" borderId="0" xfId="0" applyFont="1" applyAlignment="1" applyProtection="1">
      <alignment vertical="top"/>
      <protection locked="0"/>
    </xf>
    <xf numFmtId="0" fontId="0" fillId="0" borderId="0" xfId="0" applyFont="1" applyAlignment="1" applyProtection="1">
      <alignment vertical="top" wrapText="1"/>
      <protection locked="0"/>
    </xf>
    <xf numFmtId="0" fontId="0" fillId="0" borderId="0" xfId="0" applyFont="1" applyBorder="1" applyAlignment="1" applyProtection="1">
      <alignment horizontal="center" vertical="top" wrapText="1"/>
      <protection locked="0"/>
    </xf>
    <xf numFmtId="0" fontId="0" fillId="6" borderId="3" xfId="0" applyFont="1" applyFill="1" applyBorder="1" applyAlignment="1" applyProtection="1">
      <alignment horizontal="center" vertical="top" wrapText="1"/>
      <protection locked="0"/>
    </xf>
    <xf numFmtId="0" fontId="4" fillId="3" borderId="1" xfId="0" applyFont="1" applyFill="1" applyBorder="1" applyAlignment="1" applyProtection="1">
      <alignment vertical="center"/>
      <protection locked="0"/>
    </xf>
    <xf numFmtId="0" fontId="4" fillId="4" borderId="1" xfId="0" applyFont="1" applyFill="1" applyBorder="1" applyAlignment="1" applyProtection="1">
      <alignment horizontal="left" vertical="center" wrapText="1"/>
      <protection locked="0"/>
    </xf>
    <xf numFmtId="0" fontId="4" fillId="4" borderId="2" xfId="0" applyFont="1" applyFill="1" applyBorder="1" applyAlignment="1" applyProtection="1">
      <alignment horizontal="left" vertical="center" wrapText="1"/>
      <protection locked="0"/>
    </xf>
    <xf numFmtId="0" fontId="0" fillId="2" borderId="0" xfId="0" applyFont="1" applyFill="1" applyBorder="1" applyAlignment="1" applyProtection="1">
      <alignment horizontal="left" vertical="center" wrapText="1"/>
      <protection locked="0"/>
    </xf>
    <xf numFmtId="0" fontId="0" fillId="6" borderId="2" xfId="0" applyFont="1" applyFill="1" applyBorder="1" applyAlignment="1" applyProtection="1">
      <alignment vertical="center" wrapText="1"/>
      <protection locked="0"/>
    </xf>
    <xf numFmtId="0" fontId="4" fillId="4" borderId="1" xfId="0" applyFont="1" applyFill="1" applyBorder="1" applyAlignment="1" applyProtection="1">
      <alignment horizontal="center" vertical="center" wrapText="1"/>
      <protection locked="0"/>
    </xf>
    <xf numFmtId="0" fontId="0" fillId="6" borderId="1" xfId="0" applyFont="1" applyFill="1" applyBorder="1" applyAlignment="1" applyProtection="1">
      <alignment horizontal="center" vertical="center" wrapText="1"/>
      <protection locked="0"/>
    </xf>
    <xf numFmtId="0" fontId="0" fillId="6" borderId="1" xfId="0" applyFont="1" applyFill="1" applyBorder="1" applyAlignment="1" applyProtection="1">
      <alignment horizontal="center" vertical="center" wrapText="1"/>
    </xf>
    <xf numFmtId="0" fontId="0" fillId="0" borderId="0" xfId="0" applyFont="1"/>
    <xf numFmtId="0" fontId="0" fillId="6" borderId="1" xfId="0" applyFont="1" applyFill="1" applyBorder="1" applyAlignment="1">
      <alignment horizontal="left" vertical="top" wrapText="1"/>
    </xf>
    <xf numFmtId="0" fontId="4" fillId="3" borderId="1" xfId="0" applyFont="1" applyFill="1" applyBorder="1" applyAlignment="1">
      <alignment vertical="top"/>
    </xf>
    <xf numFmtId="0" fontId="4" fillId="4" borderId="1" xfId="0" applyFont="1" applyFill="1" applyBorder="1" applyAlignment="1">
      <alignment horizontal="center" vertical="top"/>
    </xf>
    <xf numFmtId="0" fontId="4" fillId="4" borderId="1" xfId="0" applyFont="1" applyFill="1" applyBorder="1" applyAlignment="1">
      <alignment horizontal="center" vertical="top" wrapText="1"/>
    </xf>
    <xf numFmtId="0" fontId="4" fillId="4" borderId="2" xfId="0" applyFont="1" applyFill="1" applyBorder="1" applyAlignment="1">
      <alignment horizontal="center" vertical="top" wrapText="1"/>
    </xf>
    <xf numFmtId="0" fontId="4" fillId="4" borderId="1" xfId="0" applyFont="1" applyFill="1" applyBorder="1" applyAlignment="1">
      <alignment horizontal="left" vertical="top" wrapText="1"/>
    </xf>
    <xf numFmtId="0" fontId="0" fillId="6" borderId="1" xfId="0" applyFont="1" applyFill="1" applyBorder="1" applyAlignment="1">
      <alignment horizontal="center" vertical="top"/>
    </xf>
    <xf numFmtId="164" fontId="0" fillId="6" borderId="1" xfId="0" applyNumberFormat="1" applyFont="1" applyFill="1" applyBorder="1" applyAlignment="1">
      <alignment horizontal="center" vertical="top"/>
    </xf>
    <xf numFmtId="0" fontId="0" fillId="6" borderId="2" xfId="0" applyFont="1" applyFill="1" applyBorder="1" applyAlignment="1">
      <alignment horizontal="left" vertical="top" wrapText="1"/>
    </xf>
    <xf numFmtId="15" fontId="0" fillId="6" borderId="2" xfId="0" applyNumberFormat="1" applyFont="1" applyFill="1" applyBorder="1" applyAlignment="1">
      <alignment horizontal="left" vertical="top" wrapText="1"/>
    </xf>
    <xf numFmtId="15" fontId="0" fillId="6" borderId="1" xfId="0" applyNumberFormat="1" applyFont="1" applyFill="1" applyBorder="1" applyAlignment="1">
      <alignment horizontal="left" vertical="top" wrapText="1"/>
    </xf>
    <xf numFmtId="15" fontId="0" fillId="6" borderId="3" xfId="0" applyNumberFormat="1" applyFont="1" applyFill="1" applyBorder="1" applyAlignment="1">
      <alignment horizontal="left" vertical="top" wrapText="1"/>
    </xf>
    <xf numFmtId="0" fontId="4" fillId="4" borderId="1" xfId="0" applyFont="1" applyFill="1" applyBorder="1" applyAlignment="1" applyProtection="1">
      <alignment horizontal="left" vertical="top" wrapText="1"/>
      <protection locked="0"/>
    </xf>
    <xf numFmtId="0" fontId="11" fillId="4" borderId="1" xfId="0" applyFont="1" applyFill="1" applyBorder="1" applyAlignment="1" applyProtection="1">
      <alignment horizontal="left" vertical="top" wrapText="1"/>
      <protection locked="0"/>
    </xf>
    <xf numFmtId="0" fontId="11" fillId="4" borderId="1" xfId="0" applyFont="1" applyFill="1" applyBorder="1" applyAlignment="1">
      <alignment horizontal="center" vertical="top" wrapText="1"/>
    </xf>
    <xf numFmtId="0" fontId="11" fillId="4" borderId="2" xfId="0" applyFont="1" applyFill="1" applyBorder="1" applyAlignment="1">
      <alignment horizontal="center" vertical="top" wrapText="1"/>
    </xf>
    <xf numFmtId="0" fontId="4" fillId="4" borderId="1" xfId="0" applyFont="1" applyFill="1" applyBorder="1" applyAlignment="1" applyProtection="1">
      <alignment horizontal="center" vertical="center" wrapText="1"/>
      <protection locked="0"/>
    </xf>
    <xf numFmtId="0" fontId="0" fillId="6" borderId="1" xfId="0" applyFont="1" applyFill="1" applyBorder="1" applyAlignment="1" applyProtection="1">
      <alignment horizontal="center" vertical="center" wrapText="1"/>
      <protection locked="0"/>
    </xf>
    <xf numFmtId="0" fontId="0" fillId="6" borderId="1" xfId="0" applyFont="1" applyFill="1" applyBorder="1" applyAlignment="1" applyProtection="1">
      <alignment horizontal="center" vertical="center" wrapText="1"/>
    </xf>
    <xf numFmtId="0" fontId="12" fillId="0" borderId="0" xfId="0" applyFont="1" applyAlignment="1">
      <alignment horizontal="left" vertical="top" wrapText="1"/>
    </xf>
    <xf numFmtId="0" fontId="1" fillId="4" borderId="1" xfId="0" applyFont="1" applyFill="1" applyBorder="1" applyAlignment="1">
      <alignment horizontal="center" vertical="top" wrapText="1"/>
    </xf>
    <xf numFmtId="0" fontId="12" fillId="5" borderId="1" xfId="0" applyFont="1" applyFill="1" applyBorder="1" applyAlignment="1">
      <alignment horizontal="center" vertical="top" wrapText="1"/>
    </xf>
    <xf numFmtId="0" fontId="12" fillId="5" borderId="1" xfId="0" applyFont="1" applyFill="1" applyBorder="1" applyAlignment="1">
      <alignment vertical="top" wrapText="1"/>
    </xf>
    <xf numFmtId="0" fontId="13" fillId="5" borderId="1" xfId="0" applyFont="1" applyFill="1" applyBorder="1" applyAlignment="1">
      <alignment horizontal="center" vertical="top" wrapText="1"/>
    </xf>
    <xf numFmtId="0" fontId="0" fillId="5" borderId="1" xfId="0" applyFill="1" applyBorder="1" applyAlignment="1">
      <alignment vertical="top" wrapText="1"/>
    </xf>
    <xf numFmtId="0" fontId="0" fillId="5" borderId="1" xfId="0" quotePrefix="1" applyFill="1" applyBorder="1" applyAlignment="1">
      <alignment horizontal="center" vertical="top" wrapText="1"/>
    </xf>
    <xf numFmtId="0" fontId="0" fillId="5" borderId="1" xfId="0" quotePrefix="1" applyFill="1" applyBorder="1" applyAlignment="1">
      <alignment horizontal="left" vertical="top" wrapText="1"/>
    </xf>
    <xf numFmtId="0" fontId="12" fillId="5" borderId="5" xfId="0" applyFont="1" applyFill="1" applyBorder="1" applyAlignment="1">
      <alignment vertical="top" wrapText="1"/>
    </xf>
    <xf numFmtId="0" fontId="0" fillId="5" borderId="1" xfId="0" applyFont="1" applyFill="1" applyBorder="1" applyAlignment="1">
      <alignment vertical="top" wrapText="1"/>
    </xf>
    <xf numFmtId="0" fontId="2" fillId="5" borderId="1" xfId="0" applyFont="1" applyFill="1" applyBorder="1" applyAlignment="1">
      <alignment horizontal="center" vertical="top" wrapText="1"/>
    </xf>
    <xf numFmtId="0" fontId="2" fillId="6" borderId="1" xfId="0" applyFont="1" applyFill="1" applyBorder="1" applyAlignment="1">
      <alignment horizontal="left" vertical="top" wrapText="1"/>
    </xf>
    <xf numFmtId="0" fontId="14" fillId="5" borderId="1" xfId="1" applyFill="1" applyBorder="1" applyAlignment="1">
      <alignment horizontal="left" vertical="top" wrapText="1"/>
    </xf>
    <xf numFmtId="0" fontId="14" fillId="6" borderId="1" xfId="1" applyFill="1" applyBorder="1" applyAlignment="1">
      <alignment horizontal="left" vertical="top" wrapText="1"/>
    </xf>
    <xf numFmtId="0" fontId="14" fillId="5" borderId="1" xfId="1" applyFill="1" applyBorder="1" applyAlignment="1">
      <alignment vertical="top" wrapText="1"/>
    </xf>
    <xf numFmtId="0" fontId="2" fillId="5" borderId="0" xfId="0" applyFont="1" applyFill="1" applyBorder="1" applyAlignment="1">
      <alignment horizontal="center" vertical="top" wrapText="1"/>
    </xf>
    <xf numFmtId="0" fontId="2" fillId="6" borderId="0" xfId="0" applyFont="1" applyFill="1" applyBorder="1" applyAlignment="1">
      <alignment horizontal="left" vertical="top" wrapText="1"/>
    </xf>
    <xf numFmtId="0" fontId="14" fillId="5" borderId="0" xfId="1" applyFill="1" applyBorder="1" applyAlignment="1">
      <alignment vertical="top" wrapText="1"/>
    </xf>
    <xf numFmtId="0" fontId="15" fillId="5" borderId="2" xfId="1" applyFont="1" applyFill="1" applyBorder="1" applyAlignment="1">
      <alignment horizontal="left" vertical="top" wrapText="1"/>
    </xf>
    <xf numFmtId="0" fontId="15" fillId="5" borderId="3" xfId="1" applyFont="1" applyFill="1" applyBorder="1" applyAlignment="1">
      <alignment horizontal="left" vertical="top" wrapText="1"/>
    </xf>
    <xf numFmtId="0" fontId="6" fillId="3" borderId="2" xfId="0" applyFont="1" applyFill="1" applyBorder="1" applyAlignment="1" applyProtection="1">
      <alignment horizontal="center" vertical="center"/>
      <protection locked="0"/>
    </xf>
    <xf numFmtId="0" fontId="6" fillId="3" borderId="4" xfId="0" applyFont="1" applyFill="1" applyBorder="1" applyAlignment="1" applyProtection="1">
      <alignment horizontal="center" vertical="center"/>
      <protection locked="0"/>
    </xf>
    <xf numFmtId="0" fontId="6" fillId="3" borderId="3" xfId="0" applyFont="1" applyFill="1" applyBorder="1" applyAlignment="1" applyProtection="1">
      <alignment horizontal="center" vertical="center"/>
      <protection locked="0"/>
    </xf>
    <xf numFmtId="0" fontId="0" fillId="6" borderId="2" xfId="0" applyFill="1" applyBorder="1" applyAlignment="1" applyProtection="1">
      <alignment horizontal="left" vertical="top" wrapText="1"/>
      <protection locked="0"/>
    </xf>
    <xf numFmtId="0" fontId="0" fillId="6" borderId="3" xfId="0" applyFill="1" applyBorder="1" applyAlignment="1" applyProtection="1">
      <alignment horizontal="left" vertical="top" wrapText="1"/>
      <protection locked="0"/>
    </xf>
    <xf numFmtId="0" fontId="14" fillId="5" borderId="2" xfId="1" applyFill="1" applyBorder="1" applyAlignment="1">
      <alignment horizontal="left" vertical="top" wrapText="1"/>
    </xf>
    <xf numFmtId="0" fontId="14" fillId="5" borderId="3" xfId="1" applyFill="1" applyBorder="1" applyAlignment="1">
      <alignment horizontal="left" vertical="top" wrapText="1"/>
    </xf>
    <xf numFmtId="0" fontId="0" fillId="6" borderId="2" xfId="0" quotePrefix="1" applyFill="1" applyBorder="1" applyAlignment="1" applyProtection="1">
      <alignment horizontal="left" vertical="top" wrapText="1"/>
      <protection locked="0"/>
    </xf>
    <xf numFmtId="0" fontId="0" fillId="6" borderId="2" xfId="0" applyFont="1" applyFill="1" applyBorder="1" applyAlignment="1" applyProtection="1">
      <alignment horizontal="left" vertical="center" wrapText="1"/>
      <protection locked="0"/>
    </xf>
    <xf numFmtId="0" fontId="0" fillId="6" borderId="4" xfId="0" applyFont="1" applyFill="1" applyBorder="1" applyAlignment="1" applyProtection="1">
      <alignment horizontal="left" vertical="center" wrapText="1"/>
      <protection locked="0"/>
    </xf>
    <xf numFmtId="0" fontId="0" fillId="6" borderId="3" xfId="0" applyFont="1" applyFill="1" applyBorder="1" applyAlignment="1" applyProtection="1">
      <alignment horizontal="left" vertical="center" wrapText="1"/>
      <protection locked="0"/>
    </xf>
    <xf numFmtId="165" fontId="0" fillId="6" borderId="2" xfId="0" applyNumberFormat="1" applyFill="1" applyBorder="1" applyAlignment="1" applyProtection="1">
      <alignment horizontal="left" vertical="top" wrapText="1"/>
      <protection locked="0"/>
    </xf>
    <xf numFmtId="165" fontId="0" fillId="6" borderId="3" xfId="0" applyNumberFormat="1" applyFill="1" applyBorder="1" applyAlignment="1" applyProtection="1">
      <alignment horizontal="left" vertical="top" wrapText="1"/>
      <protection locked="0"/>
    </xf>
    <xf numFmtId="0" fontId="1" fillId="3" borderId="1" xfId="0" applyFont="1" applyFill="1" applyBorder="1" applyAlignment="1">
      <alignment horizontal="center" vertical="center"/>
    </xf>
    <xf numFmtId="0" fontId="0" fillId="6" borderId="1" xfId="0" applyFont="1" applyFill="1" applyBorder="1" applyAlignment="1">
      <alignment horizontal="left" vertical="top"/>
    </xf>
    <xf numFmtId="0" fontId="3" fillId="3" borderId="1" xfId="0" applyFont="1" applyFill="1" applyBorder="1" applyAlignment="1">
      <alignment horizontal="center" vertical="center"/>
    </xf>
    <xf numFmtId="0" fontId="1" fillId="4" borderId="1" xfId="0" applyFont="1" applyFill="1" applyBorder="1" applyAlignment="1">
      <alignment horizontal="left" vertical="center" wrapText="1"/>
    </xf>
  </cellXfs>
  <cellStyles count="2">
    <cellStyle name="Hyperlink" xfId="1" builtinId="8"/>
    <cellStyle name="Normal" xfId="0" builtinId="0"/>
  </cellStyles>
  <dxfs count="45">
    <dxf>
      <fill>
        <patternFill>
          <bgColor rgb="FFFFBCAF"/>
        </patternFill>
      </fill>
    </dxf>
    <dxf>
      <fill>
        <patternFill>
          <bgColor rgb="FFF5FD91"/>
        </patternFill>
      </fill>
    </dxf>
    <dxf>
      <fill>
        <patternFill>
          <bgColor rgb="FFE2FEFB"/>
        </patternFill>
      </fill>
    </dxf>
    <dxf>
      <fill>
        <patternFill>
          <bgColor rgb="FFFFBCAF"/>
        </patternFill>
      </fill>
    </dxf>
    <dxf>
      <font>
        <color auto="1"/>
      </font>
      <fill>
        <patternFill>
          <bgColor rgb="FFD8E4D4"/>
        </patternFill>
      </fill>
    </dxf>
    <dxf>
      <fill>
        <patternFill>
          <bgColor rgb="FF81EFB5"/>
        </patternFill>
      </fill>
    </dxf>
    <dxf>
      <fill>
        <patternFill>
          <bgColor rgb="FFFFBCAF"/>
        </patternFill>
      </fill>
    </dxf>
    <dxf>
      <fill>
        <patternFill>
          <bgColor rgb="FF81EFB5"/>
        </patternFill>
      </fill>
    </dxf>
    <dxf>
      <fill>
        <patternFill>
          <bgColor rgb="FFF5FD91"/>
        </patternFill>
      </fill>
    </dxf>
    <dxf>
      <fill>
        <patternFill>
          <bgColor rgb="FFF4BEDA"/>
        </patternFill>
      </fill>
    </dxf>
    <dxf>
      <fill>
        <patternFill>
          <bgColor rgb="FFD8E4D4"/>
        </patternFill>
      </fill>
    </dxf>
    <dxf>
      <font>
        <color auto="1"/>
      </font>
      <fill>
        <patternFill>
          <bgColor rgb="FFD8E4D4"/>
        </patternFill>
      </fill>
    </dxf>
    <dxf>
      <fill>
        <patternFill>
          <bgColor rgb="FFF5FD91"/>
        </patternFill>
      </fill>
    </dxf>
    <dxf>
      <fill>
        <patternFill>
          <bgColor rgb="FF81EFB5"/>
        </patternFill>
      </fill>
    </dxf>
    <dxf>
      <fill>
        <patternFill>
          <bgColor rgb="FFF4BEDA"/>
        </patternFill>
      </fill>
    </dxf>
    <dxf>
      <fill>
        <patternFill>
          <bgColor rgb="FFFFBCAF"/>
        </patternFill>
      </fill>
    </dxf>
    <dxf>
      <font>
        <color auto="1"/>
      </font>
      <fill>
        <patternFill>
          <bgColor rgb="FFD8E4D4"/>
        </patternFill>
      </fill>
    </dxf>
    <dxf>
      <fill>
        <patternFill>
          <bgColor rgb="FF81EFB5"/>
        </patternFill>
      </fill>
    </dxf>
    <dxf>
      <fill>
        <patternFill>
          <bgColor rgb="FFFFBCAF"/>
        </patternFill>
      </fill>
    </dxf>
    <dxf>
      <fill>
        <patternFill>
          <bgColor rgb="FF81EFB5"/>
        </patternFill>
      </fill>
    </dxf>
    <dxf>
      <fill>
        <patternFill>
          <bgColor rgb="FFF5FD91"/>
        </patternFill>
      </fill>
    </dxf>
    <dxf>
      <fill>
        <patternFill>
          <bgColor rgb="FFF4BEDA"/>
        </patternFill>
      </fill>
    </dxf>
    <dxf>
      <fill>
        <patternFill>
          <bgColor rgb="FFD8E4D4"/>
        </patternFill>
      </fill>
    </dxf>
    <dxf>
      <fill>
        <patternFill>
          <bgColor rgb="FFFFBCAF"/>
        </patternFill>
      </fill>
    </dxf>
    <dxf>
      <fill>
        <patternFill>
          <bgColor rgb="FFF5FD91"/>
        </patternFill>
      </fill>
    </dxf>
    <dxf>
      <fill>
        <patternFill>
          <bgColor rgb="FFE2FEFB"/>
        </patternFill>
      </fill>
    </dxf>
    <dxf>
      <font>
        <color auto="1"/>
      </font>
      <fill>
        <patternFill>
          <bgColor rgb="FFD8E4D4"/>
        </patternFill>
      </fill>
    </dxf>
    <dxf>
      <fill>
        <patternFill>
          <bgColor rgb="FFF5FD91"/>
        </patternFill>
      </fill>
    </dxf>
    <dxf>
      <fill>
        <patternFill>
          <bgColor rgb="FF81EFB5"/>
        </patternFill>
      </fill>
    </dxf>
    <dxf>
      <fill>
        <patternFill>
          <bgColor rgb="FFF4BEDA"/>
        </patternFill>
      </fill>
    </dxf>
    <dxf>
      <fill>
        <patternFill>
          <bgColor rgb="FFFFBCAF"/>
        </patternFill>
      </fill>
    </dxf>
    <dxf>
      <font>
        <color auto="1"/>
      </font>
      <fill>
        <patternFill>
          <bgColor rgb="FFD8E4D4"/>
        </patternFill>
      </fill>
    </dxf>
    <dxf>
      <fill>
        <patternFill>
          <bgColor rgb="FF81EFB5"/>
        </patternFill>
      </fill>
    </dxf>
    <dxf>
      <fill>
        <patternFill>
          <bgColor rgb="FFFFBCAF"/>
        </patternFill>
      </fill>
    </dxf>
    <dxf>
      <fill>
        <patternFill>
          <bgColor rgb="FF81EFB5"/>
        </patternFill>
      </fill>
    </dxf>
    <dxf>
      <fill>
        <patternFill>
          <bgColor rgb="FFF5FD91"/>
        </patternFill>
      </fill>
    </dxf>
    <dxf>
      <fill>
        <patternFill>
          <bgColor rgb="FFF4BEDA"/>
        </patternFill>
      </fill>
    </dxf>
    <dxf>
      <fill>
        <patternFill>
          <bgColor rgb="FFD8E4D4"/>
        </patternFill>
      </fill>
    </dxf>
    <dxf>
      <fill>
        <patternFill>
          <bgColor rgb="FFFFBCAF"/>
        </patternFill>
      </fill>
    </dxf>
    <dxf>
      <fill>
        <patternFill>
          <bgColor rgb="FFF5FD91"/>
        </patternFill>
      </fill>
    </dxf>
    <dxf>
      <fill>
        <patternFill>
          <bgColor rgb="FFE2FEFB"/>
        </patternFill>
      </fill>
    </dxf>
    <dxf>
      <font>
        <color auto="1"/>
      </font>
      <fill>
        <patternFill>
          <bgColor rgb="FFD8E4D4"/>
        </patternFill>
      </fill>
    </dxf>
    <dxf>
      <fill>
        <patternFill>
          <bgColor rgb="FFF5FD91"/>
        </patternFill>
      </fill>
    </dxf>
    <dxf>
      <fill>
        <patternFill>
          <bgColor rgb="FF81EFB5"/>
        </patternFill>
      </fill>
    </dxf>
    <dxf>
      <fill>
        <patternFill>
          <bgColor rgb="FFF4BEDA"/>
        </patternFill>
      </fill>
    </dxf>
  </dxfs>
  <tableStyles count="0" defaultTableStyle="TableStyleMedium2" defaultPivotStyle="PivotStyleMedium9"/>
  <colors>
    <mruColors>
      <color rgb="FFAAF4CD"/>
      <color rgb="FFF5F5F5"/>
      <color rgb="FFDEEAF6"/>
      <color rgb="FFFFBCAF"/>
      <color rgb="FFF4BEDA"/>
      <color rgb="FFD8E4D4"/>
      <color rgb="FFF5FD91"/>
      <color rgb="FF81EFB5"/>
      <color rgb="FFE2FEFB"/>
      <color rgb="FFF4DE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647700</xdr:colOff>
          <xdr:row>24</xdr:row>
          <xdr:rowOff>19050</xdr:rowOff>
        </xdr:from>
        <xdr:to>
          <xdr:col>5</xdr:col>
          <xdr:colOff>0</xdr:colOff>
          <xdr:row>25</xdr:row>
          <xdr:rowOff>0</xdr:rowOff>
        </xdr:to>
        <xdr:sp macro="" textlink="">
          <xdr:nvSpPr>
            <xdr:cNvPr id="5164" name="Button 44" hidden="1">
              <a:extLst>
                <a:ext uri="{63B3BB69-23CF-44E3-9099-C40C66FF867C}">
                  <a14:compatExt spid="_x0000_s5164"/>
                </a:ext>
                <a:ext uri="{FF2B5EF4-FFF2-40B4-BE49-F238E27FC236}">
                  <a16:creationId xmlns:a16="http://schemas.microsoft.com/office/drawing/2014/main" id="{00000000-0008-0000-0000-00002C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1" i="0" u="none" strike="noStrike" baseline="0">
                  <a:solidFill>
                    <a:srgbClr val="000000"/>
                  </a:solidFill>
                  <a:latin typeface="Calibri"/>
                  <a:cs typeface="Calibri"/>
                </a:rPr>
                <a:t>UPDATE</a:t>
              </a:r>
            </a:p>
          </xdr:txBody>
        </xdr:sp>
        <xdr:clientData fPrintsWithSheet="0"/>
      </xdr:twoCellAnchor>
    </mc:Choice>
    <mc:Fallback/>
  </mc:AlternateContent>
  <xdr:twoCellAnchor editAs="oneCell">
    <xdr:from>
      <xdr:col>1</xdr:col>
      <xdr:colOff>19050</xdr:colOff>
      <xdr:row>1</xdr:row>
      <xdr:rowOff>9526</xdr:rowOff>
    </xdr:from>
    <xdr:to>
      <xdr:col>1</xdr:col>
      <xdr:colOff>333375</xdr:colOff>
      <xdr:row>1</xdr:row>
      <xdr:rowOff>371476</xdr:rowOff>
    </xdr:to>
    <xdr:pic>
      <xdr:nvPicPr>
        <xdr:cNvPr id="3" name="Picture 2" descr="E:\Avin-Systems\Operations\logos\Y2015\avin_final_700x800.jpg">
          <a:extLst>
            <a:ext uri="{FF2B5EF4-FFF2-40B4-BE49-F238E27FC236}">
              <a16:creationId xmlns:a16="http://schemas.microsoft.com/office/drawing/2014/main" id="{00000000-0008-0000-00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114301"/>
          <a:ext cx="314325" cy="361950"/>
        </a:xfrm>
        <a:prstGeom prst="rect">
          <a:avLst/>
        </a:prstGeom>
        <a:noFill/>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nurag.unnava\Downloads\SafeRTE_PB_TCL_Analysis_V1.0.0_PR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nandini.mekala\AppData\Local\Microsoft\Windows\INetCache\Content.Outlook\2SXWVTBR\SafeAdaptiveR2011-APCORE-SAR_V1.0.0_PRR%20(0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References"/>
      <sheetName val="Review Checks"/>
      <sheetName val="Defect Log-Saheb Waghmare"/>
      <sheetName val="Defect Log-S S Yazhini"/>
      <sheetName val="List"/>
    </sheetNames>
    <sheetDataSet>
      <sheetData sheetId="0"/>
      <sheetData sheetId="1"/>
      <sheetData sheetId="2"/>
      <sheetData sheetId="3"/>
      <sheetData sheetId="4"/>
      <sheetData sheetId="5">
        <row r="1">
          <cell r="E1" t="str">
            <v>Review Checks #2</v>
          </cell>
        </row>
        <row r="2">
          <cell r="E2" t="str">
            <v>Review Checks #3</v>
          </cell>
        </row>
        <row r="3">
          <cell r="E3" t="str">
            <v>Review Checks #4</v>
          </cell>
        </row>
        <row r="4">
          <cell r="E4" t="str">
            <v>Review Checks #7</v>
          </cell>
        </row>
        <row r="5">
          <cell r="E5" t="str">
            <v>Review Checks #11</v>
          </cell>
        </row>
        <row r="6">
          <cell r="E6" t="str">
            <v>Review Checks #12</v>
          </cell>
        </row>
        <row r="7">
          <cell r="E7" t="str">
            <v>Review Checks #13</v>
          </cell>
        </row>
        <row r="8">
          <cell r="E8" t="str">
            <v>Review Checks #14</v>
          </cell>
        </row>
        <row r="9">
          <cell r="E9" t="str">
            <v>Review Checks #6</v>
          </cell>
        </row>
        <row r="10">
          <cell r="E10" t="str">
            <v>Review Checks #8</v>
          </cell>
        </row>
        <row r="11">
          <cell r="E11" t="str">
            <v>Review Checks #9</v>
          </cell>
        </row>
        <row r="12">
          <cell r="E12" t="str">
            <v>Review Checks #10</v>
          </cell>
        </row>
        <row r="13">
          <cell r="E13" t="str">
            <v>Review Checks #15</v>
          </cell>
        </row>
        <row r="14">
          <cell r="E14" t="str">
            <v>Not Applicable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References"/>
      <sheetName val="Review Checks"/>
      <sheetName val="Defect Log-Omkarnath"/>
      <sheetName val="Defect Log-Mooga Venkatesh"/>
      <sheetName val="Defect Log-Noolu Narendra Reddy"/>
      <sheetName val="List"/>
    </sheetNames>
    <sheetDataSet>
      <sheetData sheetId="0" refreshError="1"/>
      <sheetData sheetId="1"/>
      <sheetData sheetId="2" refreshError="1"/>
      <sheetData sheetId="3" refreshError="1"/>
      <sheetData sheetId="4" refreshError="1"/>
      <sheetData sheetId="5" refreshError="1"/>
      <sheetData sheetId="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knode.avinsystems.com/bitbucket/projects/A00056/repos/core/browse/doc/Safety%20Analysis%20Report?at=refs%2Fheads%2Ffeature%2FA00056-422-safety-r2011-apcore-safety-analysis-report"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hyperlink" Target="http://192.168.1.17:4909/cb/tracker/2192923?view_id=-2" TargetMode="External"/><Relationship Id="rId7" Type="http://schemas.openxmlformats.org/officeDocument/2006/relationships/comments" Target="../comments2.xml"/><Relationship Id="rId2" Type="http://schemas.openxmlformats.org/officeDocument/2006/relationships/hyperlink" Target="https://knode.avinsystems.com/bitbucket/projects/A00056/repos/project-management/browse/process%20reference/safety%20analysis/template?at=refs%2Fheads%2Fmaster-safety" TargetMode="External"/><Relationship Id="rId1" Type="http://schemas.openxmlformats.org/officeDocument/2006/relationships/hyperlink" Target="https://knode.avinsystems.com/bitbucket/projects/A00056/repos/core/browse/doc/design" TargetMode="External"/><Relationship Id="rId6" Type="http://schemas.openxmlformats.org/officeDocument/2006/relationships/vmlDrawing" Target="../drawings/vmlDrawing2.vml"/><Relationship Id="rId5" Type="http://schemas.openxmlformats.org/officeDocument/2006/relationships/printerSettings" Target="../printerSettings/printerSettings2.bin"/><Relationship Id="rId4" Type="http://schemas.openxmlformats.org/officeDocument/2006/relationships/hyperlink" Target="https://knode.avinsystems.com/bitbucket/projects/A00056/repos/project-management/browse/inputs/apcore?at=refs%2Fheads%2Fmaster-safety" TargetMode="Externa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F44"/>
  <sheetViews>
    <sheetView showGridLines="0" tabSelected="1" zoomScaleNormal="100" workbookViewId="0"/>
  </sheetViews>
  <sheetFormatPr defaultColWidth="9.140625" defaultRowHeight="15" x14ac:dyDescent="0.25"/>
  <cols>
    <col min="1" max="1" width="1.5703125" style="9" customWidth="1"/>
    <col min="2" max="2" width="26.5703125" style="9" customWidth="1"/>
    <col min="3" max="3" width="50.42578125" style="9" customWidth="1"/>
    <col min="4" max="4" width="18.42578125" style="9" customWidth="1"/>
    <col min="5" max="5" width="19.7109375" style="10" customWidth="1"/>
    <col min="6" max="6" width="16" style="10" customWidth="1"/>
    <col min="7" max="7" width="42.5703125" style="9" customWidth="1"/>
    <col min="8" max="8" width="16" style="9" customWidth="1"/>
    <col min="9" max="16384" width="9.140625" style="9"/>
  </cols>
  <sheetData>
    <row r="1" spans="2:4" ht="8.25" customHeight="1" x14ac:dyDescent="0.25"/>
    <row r="2" spans="2:4" ht="30.75" customHeight="1" x14ac:dyDescent="0.25">
      <c r="B2" s="61" t="s">
        <v>5</v>
      </c>
      <c r="C2" s="62"/>
      <c r="D2" s="63"/>
    </row>
    <row r="3" spans="2:4" ht="6.75" customHeight="1" x14ac:dyDescent="0.25"/>
    <row r="4" spans="2:4" ht="18.75" customHeight="1" x14ac:dyDescent="0.25">
      <c r="B4" s="13" t="s">
        <v>53</v>
      </c>
      <c r="C4" s="10"/>
      <c r="D4" s="10"/>
    </row>
    <row r="5" spans="2:4" ht="24" customHeight="1" x14ac:dyDescent="0.25">
      <c r="B5" s="34" t="s">
        <v>1</v>
      </c>
      <c r="C5" s="64" t="s">
        <v>86</v>
      </c>
      <c r="D5" s="65"/>
    </row>
    <row r="6" spans="2:4" ht="24" customHeight="1" x14ac:dyDescent="0.25">
      <c r="B6" s="34" t="s">
        <v>2</v>
      </c>
      <c r="C6" s="68" t="s">
        <v>61</v>
      </c>
      <c r="D6" s="65"/>
    </row>
    <row r="7" spans="2:4" ht="22.15" customHeight="1" x14ac:dyDescent="0.25">
      <c r="B7" s="8" t="s">
        <v>43</v>
      </c>
      <c r="C7" s="64" t="s">
        <v>87</v>
      </c>
      <c r="D7" s="65"/>
    </row>
    <row r="8" spans="2:4" ht="24" customHeight="1" x14ac:dyDescent="0.25">
      <c r="B8" s="8" t="s">
        <v>8</v>
      </c>
      <c r="C8" s="64" t="s">
        <v>89</v>
      </c>
      <c r="D8" s="65"/>
    </row>
    <row r="9" spans="2:4" ht="27" customHeight="1" x14ac:dyDescent="0.25">
      <c r="B9" s="8" t="s">
        <v>6</v>
      </c>
      <c r="C9" s="64" t="s">
        <v>88</v>
      </c>
      <c r="D9" s="65"/>
    </row>
    <row r="10" spans="2:4" ht="6.75" customHeight="1" x14ac:dyDescent="0.25"/>
    <row r="11" spans="2:4" ht="20.25" customHeight="1" x14ac:dyDescent="0.25">
      <c r="B11" s="13" t="s">
        <v>11</v>
      </c>
    </row>
    <row r="12" spans="2:4" ht="21.75" customHeight="1" x14ac:dyDescent="0.25">
      <c r="B12" s="34" t="s">
        <v>7</v>
      </c>
      <c r="C12" s="64" t="s">
        <v>95</v>
      </c>
      <c r="D12" s="65"/>
    </row>
    <row r="13" spans="2:4" ht="21.75" customHeight="1" x14ac:dyDescent="0.25">
      <c r="B13" s="34" t="s">
        <v>23</v>
      </c>
      <c r="C13" s="64" t="s">
        <v>96</v>
      </c>
      <c r="D13" s="65"/>
    </row>
    <row r="14" spans="2:4" ht="21.75" customHeight="1" x14ac:dyDescent="0.25">
      <c r="B14" s="35" t="s">
        <v>49</v>
      </c>
      <c r="C14" s="68" t="s">
        <v>97</v>
      </c>
      <c r="D14" s="65"/>
    </row>
    <row r="15" spans="2:4" ht="33" customHeight="1" x14ac:dyDescent="0.25">
      <c r="B15" s="34" t="s">
        <v>9</v>
      </c>
      <c r="C15" s="59" t="s">
        <v>107</v>
      </c>
      <c r="D15" s="60"/>
    </row>
    <row r="16" spans="2:4" ht="33" customHeight="1" x14ac:dyDescent="0.25">
      <c r="B16" s="35" t="s">
        <v>47</v>
      </c>
      <c r="C16" s="64" t="s">
        <v>107</v>
      </c>
      <c r="D16" s="65"/>
    </row>
    <row r="17" spans="2:5" ht="21.75" customHeight="1" x14ac:dyDescent="0.25">
      <c r="B17" s="34" t="s">
        <v>10</v>
      </c>
      <c r="C17" s="66" t="s">
        <v>98</v>
      </c>
      <c r="D17" s="67"/>
    </row>
    <row r="18" spans="2:5" ht="6.75" customHeight="1" x14ac:dyDescent="0.25">
      <c r="C18" s="16"/>
      <c r="D18" s="16"/>
    </row>
    <row r="19" spans="2:5" ht="21" customHeight="1" x14ac:dyDescent="0.25">
      <c r="B19" s="13" t="s">
        <v>18</v>
      </c>
    </row>
    <row r="20" spans="2:5" ht="21" customHeight="1" x14ac:dyDescent="0.25">
      <c r="B20" s="34" t="s">
        <v>19</v>
      </c>
      <c r="C20" s="72">
        <v>45050</v>
      </c>
      <c r="D20" s="73"/>
    </row>
    <row r="21" spans="2:5" ht="21" customHeight="1" x14ac:dyDescent="0.25">
      <c r="B21" s="34" t="s">
        <v>20</v>
      </c>
      <c r="C21" s="72">
        <v>45050</v>
      </c>
      <c r="D21" s="73"/>
    </row>
    <row r="22" spans="2:5" ht="21" customHeight="1" x14ac:dyDescent="0.25">
      <c r="B22" s="34" t="s">
        <v>21</v>
      </c>
      <c r="C22" s="72">
        <v>45050</v>
      </c>
      <c r="D22" s="73"/>
    </row>
    <row r="23" spans="2:5" ht="35.25" customHeight="1" x14ac:dyDescent="0.25">
      <c r="B23" s="34" t="s">
        <v>22</v>
      </c>
      <c r="C23" s="72">
        <v>45054</v>
      </c>
      <c r="D23" s="73"/>
    </row>
    <row r="24" spans="2:5" ht="6" customHeight="1" x14ac:dyDescent="0.25"/>
    <row r="25" spans="2:5" ht="18.75" customHeight="1" x14ac:dyDescent="0.25">
      <c r="B25" s="13" t="s">
        <v>41</v>
      </c>
      <c r="E25" s="11"/>
    </row>
    <row r="26" spans="2:5" ht="18.75" customHeight="1" x14ac:dyDescent="0.25">
      <c r="B26" s="14" t="s">
        <v>13</v>
      </c>
      <c r="C26" s="69" t="s">
        <v>84</v>
      </c>
      <c r="D26" s="70"/>
      <c r="E26" s="71"/>
    </row>
    <row r="27" spans="2:5" ht="18.75" customHeight="1" x14ac:dyDescent="0.25">
      <c r="B27" s="14" t="s">
        <v>12</v>
      </c>
      <c r="C27" s="69" t="s">
        <v>39</v>
      </c>
      <c r="D27" s="70"/>
      <c r="E27" s="71"/>
    </row>
    <row r="28" spans="2:5" ht="18.75" customHeight="1" x14ac:dyDescent="0.25">
      <c r="B28" s="14" t="s">
        <v>14</v>
      </c>
      <c r="C28" s="17" t="s">
        <v>92</v>
      </c>
      <c r="D28" s="14" t="s">
        <v>15</v>
      </c>
      <c r="E28" s="12" t="s">
        <v>60</v>
      </c>
    </row>
    <row r="29" spans="2:5" ht="18.75" customHeight="1" x14ac:dyDescent="0.25">
      <c r="B29" s="14" t="s">
        <v>16</v>
      </c>
      <c r="C29" s="17" t="s">
        <v>93</v>
      </c>
      <c r="D29" s="14" t="s">
        <v>15</v>
      </c>
      <c r="E29" s="12" t="s">
        <v>68</v>
      </c>
    </row>
    <row r="30" spans="2:5" ht="18.75" customHeight="1" x14ac:dyDescent="0.25">
      <c r="B30" s="14" t="s">
        <v>17</v>
      </c>
      <c r="C30" s="17" t="s">
        <v>83</v>
      </c>
      <c r="D30" s="14" t="s">
        <v>15</v>
      </c>
      <c r="E30" s="12" t="s">
        <v>85</v>
      </c>
    </row>
    <row r="31" spans="2:5" ht="6" customHeight="1" x14ac:dyDescent="0.25"/>
    <row r="32" spans="2:5" ht="20.25" customHeight="1" x14ac:dyDescent="0.25">
      <c r="B32" s="13" t="s">
        <v>42</v>
      </c>
    </row>
    <row r="33" spans="2:6" ht="20.25" customHeight="1" x14ac:dyDescent="0.25">
      <c r="B33" s="14" t="s">
        <v>37</v>
      </c>
      <c r="C33" s="18" t="s">
        <v>36</v>
      </c>
      <c r="D33" s="18" t="s">
        <v>38</v>
      </c>
      <c r="E33" s="18" t="s">
        <v>50</v>
      </c>
      <c r="F33" s="38" t="s">
        <v>33</v>
      </c>
    </row>
    <row r="34" spans="2:6" ht="20.25" customHeight="1" x14ac:dyDescent="0.25">
      <c r="B34" s="15" t="s">
        <v>13</v>
      </c>
      <c r="C34" s="19">
        <v>3</v>
      </c>
      <c r="D34" s="19">
        <v>1.5</v>
      </c>
      <c r="E34" s="39">
        <v>0.1</v>
      </c>
      <c r="F34" s="40">
        <f t="shared" ref="F34:F38" si="0">SUM(C34:E34)</f>
        <v>4.5999999999999996</v>
      </c>
    </row>
    <row r="35" spans="2:6" ht="20.25" customHeight="1" x14ac:dyDescent="0.25">
      <c r="B35" s="15" t="s">
        <v>12</v>
      </c>
      <c r="C35" s="19">
        <v>0</v>
      </c>
      <c r="D35" s="19">
        <v>0.1</v>
      </c>
      <c r="E35" s="39">
        <v>0.1</v>
      </c>
      <c r="F35" s="40">
        <f t="shared" si="0"/>
        <v>0.2</v>
      </c>
    </row>
    <row r="36" spans="2:6" ht="20.25" customHeight="1" x14ac:dyDescent="0.25">
      <c r="B36" s="15" t="s">
        <v>14</v>
      </c>
      <c r="C36" s="19">
        <v>0.5</v>
      </c>
      <c r="D36" s="19">
        <v>0</v>
      </c>
      <c r="E36" s="39">
        <v>0.2</v>
      </c>
      <c r="F36" s="40">
        <f t="shared" si="0"/>
        <v>0.7</v>
      </c>
    </row>
    <row r="37" spans="2:6" ht="20.25" customHeight="1" x14ac:dyDescent="0.25">
      <c r="B37" s="15" t="s">
        <v>16</v>
      </c>
      <c r="C37" s="19">
        <v>0.25</v>
      </c>
      <c r="D37" s="19">
        <v>0</v>
      </c>
      <c r="E37" s="39">
        <v>0</v>
      </c>
      <c r="F37" s="40">
        <f t="shared" si="0"/>
        <v>0.25</v>
      </c>
    </row>
    <row r="38" spans="2:6" ht="20.25" customHeight="1" x14ac:dyDescent="0.25">
      <c r="B38" s="15" t="s">
        <v>17</v>
      </c>
      <c r="C38" s="19">
        <v>0.3</v>
      </c>
      <c r="D38" s="19">
        <v>2</v>
      </c>
      <c r="E38" s="39">
        <v>0.2</v>
      </c>
      <c r="F38" s="40">
        <f t="shared" si="0"/>
        <v>2.5</v>
      </c>
    </row>
    <row r="39" spans="2:6" ht="6.75" customHeight="1" x14ac:dyDescent="0.25"/>
    <row r="40" spans="2:6" ht="17.25" customHeight="1" x14ac:dyDescent="0.25">
      <c r="B40" s="13" t="s">
        <v>35</v>
      </c>
    </row>
    <row r="41" spans="2:6" ht="21" customHeight="1" x14ac:dyDescent="0.25">
      <c r="B41" s="14" t="s">
        <v>32</v>
      </c>
      <c r="C41" s="18" t="s">
        <v>27</v>
      </c>
      <c r="D41" s="18" t="s">
        <v>28</v>
      </c>
      <c r="E41" s="18" t="s">
        <v>29</v>
      </c>
      <c r="F41" s="38" t="s">
        <v>33</v>
      </c>
    </row>
    <row r="42" spans="2:6" ht="17.25" customHeight="1" x14ac:dyDescent="0.25">
      <c r="B42" s="14" t="s">
        <v>14</v>
      </c>
      <c r="C42" s="20">
        <f>COUNTIFS('Defect Log-Omkarnath'!$H$7:$H$81,"Major",'Defect Log-Omkarnath'!$J$7:$J$81,"Accepted")</f>
        <v>0</v>
      </c>
      <c r="D42" s="20">
        <f>COUNTIFS('Defect Log-Omkarnath'!$H$7:$H$81,"Minor",'Defect Log-Omkarnath'!$J$7:$J$81,"Accepted")</f>
        <v>0</v>
      </c>
      <c r="E42" s="40">
        <f>COUNTIFS('Defect Log-Omkarnath'!$H$7:$H$81,"Trivial",'Defect Log-Omkarnath'!$J$7:$J$81,"Accepted")</f>
        <v>0</v>
      </c>
      <c r="F42" s="40">
        <f>SUM(C42:E42)</f>
        <v>0</v>
      </c>
    </row>
    <row r="43" spans="2:6" ht="19.5" customHeight="1" x14ac:dyDescent="0.25">
      <c r="B43" s="14" t="s">
        <v>16</v>
      </c>
      <c r="C43" s="20">
        <f>COUNTIFS('Defect Log-Mooga Venkatesh'!$H$7:$H$80,"Major",'Defect Log-Mooga Venkatesh'!$J$7:$J$80,"Accepted")</f>
        <v>0</v>
      </c>
      <c r="D43" s="20">
        <f>COUNTIFS('Defect Log-Mooga Venkatesh'!$H$7:$H$80,"Minor",'Defect Log-Mooga Venkatesh'!$J$7:$J$80,"Accepted")</f>
        <v>0</v>
      </c>
      <c r="E43" s="40">
        <f>COUNTIFS('Defect Log-Mooga Venkatesh'!$H$7:$H$80,"Trivial",'Defect Log-Mooga Venkatesh'!$J$7:$J$80,"Accepted")</f>
        <v>0</v>
      </c>
      <c r="F43" s="40">
        <f t="shared" ref="F43:F44" si="1">SUM(C43:E43)</f>
        <v>0</v>
      </c>
    </row>
    <row r="44" spans="2:6" ht="20.25" customHeight="1" x14ac:dyDescent="0.25">
      <c r="B44" s="14" t="s">
        <v>17</v>
      </c>
      <c r="C44" s="20">
        <f>COUNTIFS('Defect Log-Noolu Narendra Reddy'!$H$7:$H$84,"Major",'Defect Log-Noolu Narendra Reddy'!$J$7:$J$84,"Accepted")</f>
        <v>0</v>
      </c>
      <c r="D44" s="20">
        <f>COUNTIFS('Defect Log-Noolu Narendra Reddy'!$H$7:$H$84,"Minor",'Defect Log-Noolu Narendra Reddy'!$J$7:$J$84,"Accepted")</f>
        <v>4</v>
      </c>
      <c r="E44" s="40">
        <f>COUNTIFS('Defect Log-Noolu Narendra Reddy'!$H$7:$H$84,"Trivial",'Defect Log-Noolu Narendra Reddy'!$J$7:$J$84,"Accepted")</f>
        <v>0</v>
      </c>
      <c r="F44" s="40">
        <f t="shared" si="1"/>
        <v>4</v>
      </c>
    </row>
  </sheetData>
  <sheetProtection formatCells="0" formatColumns="0" formatRows="0" insertColumns="0" insertRows="0" insertHyperlinks="0" deleteColumns="0" deleteRows="0"/>
  <mergeCells count="18">
    <mergeCell ref="C27:E27"/>
    <mergeCell ref="C26:E26"/>
    <mergeCell ref="C20:D20"/>
    <mergeCell ref="C21:D21"/>
    <mergeCell ref="C22:D22"/>
    <mergeCell ref="C23:D23"/>
    <mergeCell ref="C15:D15"/>
    <mergeCell ref="B2:D2"/>
    <mergeCell ref="C5:D5"/>
    <mergeCell ref="C17:D17"/>
    <mergeCell ref="C6:D6"/>
    <mergeCell ref="C9:D9"/>
    <mergeCell ref="C12:D12"/>
    <mergeCell ref="C14:D14"/>
    <mergeCell ref="C8:D8"/>
    <mergeCell ref="C13:D13"/>
    <mergeCell ref="C7:D7"/>
    <mergeCell ref="C16:D16"/>
  </mergeCells>
  <phoneticPr fontId="5" type="noConversion"/>
  <dataValidations count="1">
    <dataValidation type="list" allowBlank="1" showInputMessage="1" showErrorMessage="1" sqref="E28:E30" xr:uid="{A9938716-1906-46E6-A6EB-FEA316C34F1B}">
      <formula1>"Provider,Consumer,Quality,CM,Provider and Consumer,Quality and CM,Provider. Quality and CM,Consumer. Quality and CM"</formula1>
    </dataValidation>
  </dataValidations>
  <hyperlinks>
    <hyperlink ref="C17" r:id="rId1" display="https://knode.avinsystems.com/bitbucket/projects/A00056/repos/core/browse/doc/Safety Analysis Report?at=refs%2Fheads%2Ffeature%2FA00056-422-safety-r2011-apcore-safety-analysis-report" xr:uid="{435CB0A3-E864-4D70-B9B9-318631093903}"/>
  </hyperlinks>
  <pageMargins left="0.7" right="0.7" top="0.75" bottom="0.75" header="0.3" footer="0.3"/>
  <pageSetup paperSize="9" scale="65"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64" r:id="rId5" name="Button 44">
              <controlPr defaultSize="0" print="0" autoFill="0" autoPict="0" macro="[0]!Checkpoints">
                <anchor moveWithCells="1" sizeWithCells="1">
                  <from>
                    <xdr:col>4</xdr:col>
                    <xdr:colOff>647700</xdr:colOff>
                    <xdr:row>24</xdr:row>
                    <xdr:rowOff>19050</xdr:rowOff>
                  </from>
                  <to>
                    <xdr:col>5</xdr:col>
                    <xdr:colOff>0</xdr:colOff>
                    <xdr:row>25</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D10"/>
  <sheetViews>
    <sheetView showGridLines="0" zoomScaleNormal="100" workbookViewId="0"/>
  </sheetViews>
  <sheetFormatPr defaultColWidth="9.140625" defaultRowHeight="15" x14ac:dyDescent="0.25"/>
  <cols>
    <col min="1" max="1" width="1.42578125" style="21" customWidth="1"/>
    <col min="2" max="2" width="8.140625" style="21" customWidth="1"/>
    <col min="3" max="3" width="31.7109375" style="21" customWidth="1"/>
    <col min="4" max="4" width="48" style="21" customWidth="1"/>
    <col min="5" max="16384" width="9.140625" style="21"/>
  </cols>
  <sheetData>
    <row r="1" spans="2:4" ht="6.75" customHeight="1" x14ac:dyDescent="0.25"/>
    <row r="2" spans="2:4" ht="23.25" customHeight="1" x14ac:dyDescent="0.25">
      <c r="B2" s="74" t="s">
        <v>40</v>
      </c>
      <c r="C2" s="74"/>
      <c r="D2" s="74"/>
    </row>
    <row r="3" spans="2:4" ht="5.25" customHeight="1" x14ac:dyDescent="0.25"/>
    <row r="4" spans="2:4" ht="34.5" customHeight="1" x14ac:dyDescent="0.25">
      <c r="B4" s="7" t="s">
        <v>3</v>
      </c>
      <c r="C4" s="7" t="s">
        <v>44</v>
      </c>
      <c r="D4" s="7" t="s">
        <v>45</v>
      </c>
    </row>
    <row r="5" spans="2:4" ht="37.5" customHeight="1" x14ac:dyDescent="0.25">
      <c r="B5" s="51">
        <v>1</v>
      </c>
      <c r="C5" s="52" t="s">
        <v>108</v>
      </c>
      <c r="D5" s="54" t="s">
        <v>109</v>
      </c>
    </row>
    <row r="6" spans="2:4" ht="45" customHeight="1" x14ac:dyDescent="0.25">
      <c r="B6" s="51">
        <v>2</v>
      </c>
      <c r="C6" s="52" t="s">
        <v>110</v>
      </c>
      <c r="D6" s="53" t="s">
        <v>98</v>
      </c>
    </row>
    <row r="7" spans="2:4" ht="55.5" customHeight="1" x14ac:dyDescent="0.25">
      <c r="B7" s="51">
        <v>3</v>
      </c>
      <c r="C7" s="52" t="s">
        <v>119</v>
      </c>
      <c r="D7" s="55" t="s">
        <v>111</v>
      </c>
    </row>
    <row r="8" spans="2:4" ht="33" customHeight="1" x14ac:dyDescent="0.25">
      <c r="B8" s="51">
        <v>4</v>
      </c>
      <c r="C8" s="52" t="s">
        <v>112</v>
      </c>
      <c r="D8" s="55" t="s">
        <v>111</v>
      </c>
    </row>
    <row r="9" spans="2:4" ht="6.95" customHeight="1" x14ac:dyDescent="0.25">
      <c r="B9" s="56"/>
      <c r="C9" s="57"/>
      <c r="D9" s="58"/>
    </row>
    <row r="10" spans="2:4" ht="21" customHeight="1" x14ac:dyDescent="0.25">
      <c r="B10" s="23" t="s">
        <v>4</v>
      </c>
      <c r="C10" s="75" t="s">
        <v>46</v>
      </c>
      <c r="D10" s="75"/>
    </row>
  </sheetData>
  <mergeCells count="2">
    <mergeCell ref="B2:D2"/>
    <mergeCell ref="C10:D10"/>
  </mergeCells>
  <hyperlinks>
    <hyperlink ref="D6" r:id="rId1" display="https://knode.avinsystems.com/bitbucket/projects/A00056/repos/core/browse/doc/design" xr:uid="{0E41A7C5-DD6D-4EE3-8EAE-9EA98B4794F6}"/>
    <hyperlink ref="D8" r:id="rId2" display="https://knode.avinsystems.com/bitbucket/projects/A00056/repos/project-management/browse/process reference/safety analysis/template?at=refs%2Fheads%2Fmaster-safety" xr:uid="{8BCB8AD5-ADE2-4522-8402-FF9AAB7685CC}"/>
    <hyperlink ref="D5" r:id="rId3" xr:uid="{9350C130-2C99-4773-BCA6-E7A3D5CC9FA2}"/>
    <hyperlink ref="D7" r:id="rId4" display="https://knode.avinsystems.com/bitbucket/projects/A00056/repos/project-management/browse/inputs/apcore?at=refs%2Fheads%2Fmaster-safety" xr:uid="{25504893-2702-402D-878F-E4421A105388}"/>
  </hyperlinks>
  <pageMargins left="0.7" right="0.7" top="0.75" bottom="0.75" header="0.3" footer="0.3"/>
  <pageSetup paperSize="9" orientation="portrait" r:id="rId5"/>
  <legacyDrawing r:id="rId6"/>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58F85E-3634-4CD6-A2E6-27BB38958292}">
  <dimension ref="B2:H20"/>
  <sheetViews>
    <sheetView showGridLines="0" zoomScaleNormal="100" workbookViewId="0">
      <pane xSplit="6" ySplit="4" topLeftCell="G5" activePane="bottomRight" state="frozen"/>
      <selection pane="topRight" activeCell="F1" sqref="F1"/>
      <selection pane="bottomLeft" activeCell="A5" sqref="A5"/>
      <selection pane="bottomRight"/>
    </sheetView>
  </sheetViews>
  <sheetFormatPr defaultColWidth="9.140625" defaultRowHeight="15" x14ac:dyDescent="0.25"/>
  <cols>
    <col min="1" max="1" width="1.85546875" style="41" customWidth="1"/>
    <col min="2" max="2" width="7.28515625" style="41" bestFit="1" customWidth="1"/>
    <col min="3" max="3" width="21.140625" style="41" customWidth="1"/>
    <col min="4" max="4" width="18.85546875" style="41" customWidth="1"/>
    <col min="5" max="5" width="69.140625" style="41" customWidth="1"/>
    <col min="6" max="6" width="12.28515625" style="41" bestFit="1" customWidth="1"/>
    <col min="7" max="7" width="11.7109375" style="41" bestFit="1" customWidth="1"/>
    <col min="8" max="8" width="25.5703125" style="41" customWidth="1"/>
    <col min="9" max="16384" width="9.140625" style="41"/>
  </cols>
  <sheetData>
    <row r="2" spans="2:8" ht="24" customHeight="1" x14ac:dyDescent="0.25">
      <c r="B2" s="76" t="s">
        <v>54</v>
      </c>
      <c r="C2" s="76"/>
      <c r="D2" s="76"/>
      <c r="E2" s="76"/>
      <c r="F2" s="76"/>
      <c r="G2" s="76"/>
      <c r="H2" s="76"/>
    </row>
    <row r="3" spans="2:8" ht="5.25" customHeight="1" x14ac:dyDescent="0.25"/>
    <row r="4" spans="2:8" ht="34.5" customHeight="1" x14ac:dyDescent="0.25">
      <c r="B4" s="42" t="s">
        <v>3</v>
      </c>
      <c r="C4" s="42" t="s">
        <v>55</v>
      </c>
      <c r="D4" s="42" t="s">
        <v>56</v>
      </c>
      <c r="E4" s="42" t="s">
        <v>57</v>
      </c>
      <c r="F4" s="42" t="s">
        <v>15</v>
      </c>
      <c r="G4" s="42" t="s">
        <v>58</v>
      </c>
      <c r="H4" s="42" t="s">
        <v>59</v>
      </c>
    </row>
    <row r="5" spans="2:8" ht="30" x14ac:dyDescent="0.25">
      <c r="B5" s="43">
        <v>1</v>
      </c>
      <c r="C5" s="44" t="s">
        <v>60</v>
      </c>
      <c r="D5" s="45" t="s">
        <v>61</v>
      </c>
      <c r="E5" s="46" t="s">
        <v>62</v>
      </c>
      <c r="F5" s="44" t="s">
        <v>60</v>
      </c>
      <c r="G5" s="46" t="s">
        <v>63</v>
      </c>
      <c r="H5" s="47" t="s">
        <v>61</v>
      </c>
    </row>
    <row r="6" spans="2:8" ht="30" x14ac:dyDescent="0.25">
      <c r="B6" s="43">
        <v>2</v>
      </c>
      <c r="C6" s="44" t="s">
        <v>60</v>
      </c>
      <c r="D6" s="45" t="s">
        <v>61</v>
      </c>
      <c r="E6" s="46" t="s">
        <v>64</v>
      </c>
      <c r="F6" s="44" t="s">
        <v>60</v>
      </c>
      <c r="G6" s="46" t="s">
        <v>63</v>
      </c>
      <c r="H6" s="47" t="s">
        <v>61</v>
      </c>
    </row>
    <row r="7" spans="2:8" ht="30" x14ac:dyDescent="0.25">
      <c r="B7" s="43">
        <v>3</v>
      </c>
      <c r="C7" s="44" t="s">
        <v>60</v>
      </c>
      <c r="D7" s="45" t="s">
        <v>61</v>
      </c>
      <c r="E7" s="46" t="s">
        <v>65</v>
      </c>
      <c r="F7" s="44" t="s">
        <v>60</v>
      </c>
      <c r="G7" s="46" t="s">
        <v>63</v>
      </c>
      <c r="H7" s="47" t="s">
        <v>61</v>
      </c>
    </row>
    <row r="8" spans="2:8" ht="30" x14ac:dyDescent="0.25">
      <c r="B8" s="43">
        <v>4</v>
      </c>
      <c r="C8" s="44" t="s">
        <v>60</v>
      </c>
      <c r="D8" s="45" t="s">
        <v>61</v>
      </c>
      <c r="E8" s="46" t="s">
        <v>66</v>
      </c>
      <c r="F8" s="44" t="s">
        <v>60</v>
      </c>
      <c r="G8" s="46" t="s">
        <v>63</v>
      </c>
      <c r="H8" s="47" t="s">
        <v>61</v>
      </c>
    </row>
    <row r="9" spans="2:8" ht="30" x14ac:dyDescent="0.25">
      <c r="B9" s="43">
        <v>5</v>
      </c>
      <c r="C9" s="44" t="s">
        <v>60</v>
      </c>
      <c r="D9" s="45" t="s">
        <v>61</v>
      </c>
      <c r="E9" s="46" t="s">
        <v>67</v>
      </c>
      <c r="F9" s="44" t="s">
        <v>60</v>
      </c>
      <c r="G9" s="46" t="s">
        <v>63</v>
      </c>
      <c r="H9" s="48"/>
    </row>
    <row r="10" spans="2:8" ht="30" x14ac:dyDescent="0.25">
      <c r="B10" s="43">
        <v>6</v>
      </c>
      <c r="C10" s="44" t="s">
        <v>68</v>
      </c>
      <c r="D10" s="45" t="s">
        <v>61</v>
      </c>
      <c r="E10" s="46" t="s">
        <v>69</v>
      </c>
      <c r="F10" s="44" t="s">
        <v>68</v>
      </c>
      <c r="G10" s="46" t="s">
        <v>63</v>
      </c>
      <c r="H10" s="47" t="s">
        <v>61</v>
      </c>
    </row>
    <row r="11" spans="2:8" ht="30" x14ac:dyDescent="0.25">
      <c r="B11" s="43">
        <v>7</v>
      </c>
      <c r="C11" s="44" t="s">
        <v>68</v>
      </c>
      <c r="D11" s="45" t="s">
        <v>61</v>
      </c>
      <c r="E11" s="46" t="s">
        <v>70</v>
      </c>
      <c r="F11" s="44" t="s">
        <v>68</v>
      </c>
      <c r="G11" s="46" t="s">
        <v>63</v>
      </c>
      <c r="H11" s="47" t="s">
        <v>61</v>
      </c>
    </row>
    <row r="12" spans="2:8" ht="30" x14ac:dyDescent="0.25">
      <c r="B12" s="43">
        <v>8</v>
      </c>
      <c r="C12" s="44" t="s">
        <v>60</v>
      </c>
      <c r="D12" s="45" t="s">
        <v>61</v>
      </c>
      <c r="E12" s="46" t="s">
        <v>71</v>
      </c>
      <c r="F12" s="44" t="s">
        <v>60</v>
      </c>
      <c r="G12" s="46" t="s">
        <v>63</v>
      </c>
      <c r="H12" s="47" t="s">
        <v>61</v>
      </c>
    </row>
    <row r="13" spans="2:8" ht="30" x14ac:dyDescent="0.25">
      <c r="B13" s="43">
        <v>9</v>
      </c>
      <c r="C13" s="44" t="s">
        <v>60</v>
      </c>
      <c r="D13" s="45" t="s">
        <v>61</v>
      </c>
      <c r="E13" s="46" t="s">
        <v>72</v>
      </c>
      <c r="F13" s="44" t="s">
        <v>60</v>
      </c>
      <c r="G13" s="46" t="s">
        <v>63</v>
      </c>
      <c r="H13" s="47" t="s">
        <v>61</v>
      </c>
    </row>
    <row r="14" spans="2:8" x14ac:dyDescent="0.25">
      <c r="B14" s="43">
        <v>10</v>
      </c>
      <c r="C14" s="44" t="s">
        <v>68</v>
      </c>
      <c r="D14" s="45" t="s">
        <v>61</v>
      </c>
      <c r="E14" s="44" t="s">
        <v>73</v>
      </c>
      <c r="F14" s="44" t="s">
        <v>68</v>
      </c>
      <c r="G14" s="46" t="s">
        <v>63</v>
      </c>
      <c r="H14" s="47" t="s">
        <v>61</v>
      </c>
    </row>
    <row r="15" spans="2:8" ht="30" x14ac:dyDescent="0.25">
      <c r="B15" s="43">
        <v>11</v>
      </c>
      <c r="C15" s="44" t="s">
        <v>74</v>
      </c>
      <c r="D15" s="45" t="s">
        <v>61</v>
      </c>
      <c r="E15" s="44" t="s">
        <v>75</v>
      </c>
      <c r="F15" s="44" t="s">
        <v>74</v>
      </c>
      <c r="G15" s="46" t="s">
        <v>63</v>
      </c>
      <c r="H15" s="47" t="s">
        <v>61</v>
      </c>
    </row>
    <row r="16" spans="2:8" ht="30" x14ac:dyDescent="0.25">
      <c r="B16" s="43">
        <v>12</v>
      </c>
      <c r="C16" s="44" t="s">
        <v>74</v>
      </c>
      <c r="D16" s="45" t="s">
        <v>61</v>
      </c>
      <c r="E16" s="49" t="s">
        <v>76</v>
      </c>
      <c r="F16" s="44" t="s">
        <v>74</v>
      </c>
      <c r="G16" s="46" t="s">
        <v>63</v>
      </c>
      <c r="H16" s="47" t="s">
        <v>61</v>
      </c>
    </row>
    <row r="17" spans="2:8" x14ac:dyDescent="0.25">
      <c r="B17" s="43">
        <v>13</v>
      </c>
      <c r="C17" s="44" t="s">
        <v>74</v>
      </c>
      <c r="D17" s="45" t="s">
        <v>61</v>
      </c>
      <c r="E17" s="50" t="s">
        <v>77</v>
      </c>
      <c r="F17" s="44" t="s">
        <v>74</v>
      </c>
      <c r="G17" s="46" t="s">
        <v>63</v>
      </c>
      <c r="H17" s="47" t="s">
        <v>61</v>
      </c>
    </row>
    <row r="18" spans="2:8" ht="30" x14ac:dyDescent="0.25">
      <c r="B18" s="43">
        <v>14</v>
      </c>
      <c r="C18" s="44" t="s">
        <v>74</v>
      </c>
      <c r="D18" s="45" t="s">
        <v>61</v>
      </c>
      <c r="E18" s="44" t="s">
        <v>78</v>
      </c>
      <c r="F18" s="44" t="s">
        <v>74</v>
      </c>
      <c r="G18" s="46" t="s">
        <v>63</v>
      </c>
      <c r="H18" s="47" t="s">
        <v>79</v>
      </c>
    </row>
    <row r="19" spans="2:8" ht="30" x14ac:dyDescent="0.25">
      <c r="B19" s="43">
        <v>15</v>
      </c>
      <c r="C19" s="44" t="s">
        <v>74</v>
      </c>
      <c r="D19" s="45" t="s">
        <v>61</v>
      </c>
      <c r="E19" s="44" t="s">
        <v>80</v>
      </c>
      <c r="F19" s="44" t="s">
        <v>74</v>
      </c>
      <c r="G19" s="46" t="s">
        <v>63</v>
      </c>
      <c r="H19" s="47" t="s">
        <v>61</v>
      </c>
    </row>
    <row r="20" spans="2:8" ht="27" customHeight="1" x14ac:dyDescent="0.25">
      <c r="B20" s="43">
        <v>16</v>
      </c>
      <c r="C20" s="44" t="s">
        <v>81</v>
      </c>
      <c r="D20" s="45" t="s">
        <v>61</v>
      </c>
      <c r="E20" s="44" t="s">
        <v>82</v>
      </c>
      <c r="F20" s="44" t="s">
        <v>81</v>
      </c>
      <c r="G20" s="46" t="s">
        <v>63</v>
      </c>
      <c r="H20" s="47" t="s">
        <v>61</v>
      </c>
    </row>
  </sheetData>
  <mergeCells count="1">
    <mergeCell ref="B2:H2"/>
  </mergeCells>
  <dataValidations count="2">
    <dataValidation type="list" allowBlank="1" showInputMessage="1" showErrorMessage="1" sqref="G5:G20" xr:uid="{FE645A80-1D91-4606-AE4C-E62CC595552F}">
      <formula1>"Manual, Tool"</formula1>
    </dataValidation>
    <dataValidation type="list" allowBlank="1" showInputMessage="1" showErrorMessage="1" promptTitle="quality,etc ,fix" sqref="F5:F20 C5:C20" xr:uid="{96646F9C-46AE-4E75-9844-E7C83428D2A6}">
      <formula1>"Provider,Consumer,Quality,CM,Provider/Consumer"</formula1>
    </dataValidation>
  </dataValidations>
  <pageMargins left="0.7" right="0.7" top="0.75" bottom="0.75" header="0.3" footer="0.3"/>
  <pageSetup scale="44"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T8"/>
  <sheetViews>
    <sheetView showGridLines="0" zoomScaleNormal="100" workbookViewId="0"/>
  </sheetViews>
  <sheetFormatPr defaultColWidth="9.140625" defaultRowHeight="15" x14ac:dyDescent="0.25"/>
  <cols>
    <col min="1" max="1" width="1.5703125" style="1" customWidth="1"/>
    <col min="2" max="2" width="8" style="1" customWidth="1"/>
    <col min="3" max="3" width="13.140625" style="1" customWidth="1"/>
    <col min="4" max="4" width="28.140625" style="1" customWidth="1"/>
    <col min="5" max="6" width="15.28515625" style="1" customWidth="1"/>
    <col min="7" max="7" width="42.28515625" style="1" customWidth="1"/>
    <col min="8" max="8" width="16.28515625" style="2" customWidth="1"/>
    <col min="9" max="9" width="42.5703125" style="1" customWidth="1"/>
    <col min="10" max="10" width="19.7109375" style="1" customWidth="1"/>
    <col min="11" max="11" width="17.7109375" style="1" customWidth="1"/>
    <col min="12" max="12" width="16.5703125" style="1" customWidth="1"/>
    <col min="13" max="16384" width="9.140625" style="1"/>
  </cols>
  <sheetData>
    <row r="1" spans="2:20" ht="8.25" customHeight="1" x14ac:dyDescent="0.25"/>
    <row r="2" spans="2:20" ht="21" customHeight="1" x14ac:dyDescent="0.25">
      <c r="B2" s="76" t="s">
        <v>24</v>
      </c>
      <c r="C2" s="76"/>
      <c r="D2" s="76"/>
      <c r="E2" s="2"/>
      <c r="F2" s="2"/>
      <c r="G2" s="2"/>
    </row>
    <row r="3" spans="2:20" ht="4.5" customHeight="1" x14ac:dyDescent="0.25"/>
    <row r="4" spans="2:20" ht="25.5" customHeight="1" x14ac:dyDescent="0.25">
      <c r="B4" s="77" t="s">
        <v>25</v>
      </c>
      <c r="C4" s="77"/>
      <c r="D4" s="6" t="s">
        <v>94</v>
      </c>
      <c r="E4" s="2"/>
      <c r="F4" s="2"/>
      <c r="G4" s="2"/>
    </row>
    <row r="5" spans="2:20" ht="5.25" customHeight="1" x14ac:dyDescent="0.25"/>
    <row r="6" spans="2:20" ht="63" customHeight="1" x14ac:dyDescent="0.25">
      <c r="B6" s="24" t="s">
        <v>3</v>
      </c>
      <c r="C6" s="24" t="s">
        <v>0</v>
      </c>
      <c r="D6" s="36" t="s">
        <v>44</v>
      </c>
      <c r="E6" s="37" t="s">
        <v>48</v>
      </c>
      <c r="F6" s="37" t="s">
        <v>91</v>
      </c>
      <c r="G6" s="26" t="s">
        <v>31</v>
      </c>
      <c r="H6" s="25" t="s">
        <v>30</v>
      </c>
      <c r="I6" s="25" t="s">
        <v>26</v>
      </c>
      <c r="J6" s="27" t="s">
        <v>51</v>
      </c>
      <c r="K6" s="27" t="s">
        <v>34</v>
      </c>
      <c r="L6" s="27" t="s">
        <v>52</v>
      </c>
    </row>
    <row r="7" spans="2:20" ht="36" customHeight="1" x14ac:dyDescent="0.25">
      <c r="B7" s="28">
        <v>1</v>
      </c>
      <c r="C7" s="29">
        <v>45051</v>
      </c>
      <c r="D7" s="22"/>
      <c r="E7" s="30"/>
      <c r="F7" s="30"/>
      <c r="G7" s="32" t="s">
        <v>120</v>
      </c>
      <c r="H7" s="32"/>
      <c r="I7" s="22"/>
      <c r="J7" s="22"/>
      <c r="K7" s="22"/>
      <c r="L7" s="22"/>
      <c r="M7" s="5"/>
      <c r="N7" s="5"/>
      <c r="O7" s="4"/>
      <c r="P7" s="3"/>
      <c r="Q7" s="3"/>
      <c r="R7" s="3"/>
      <c r="S7" s="3"/>
      <c r="T7" s="3"/>
    </row>
    <row r="8" spans="2:20" x14ac:dyDescent="0.25">
      <c r="D8" s="4"/>
      <c r="E8" s="4"/>
      <c r="F8" s="4"/>
      <c r="G8" s="4"/>
      <c r="H8" s="4"/>
      <c r="I8" s="4"/>
      <c r="J8" s="4"/>
      <c r="K8" s="4"/>
      <c r="L8" s="4"/>
      <c r="M8" s="4"/>
      <c r="N8" s="4"/>
      <c r="O8" s="4"/>
      <c r="P8" s="3"/>
      <c r="Q8" s="3"/>
      <c r="R8" s="3"/>
      <c r="S8" s="3"/>
      <c r="T8" s="3"/>
    </row>
  </sheetData>
  <mergeCells count="2">
    <mergeCell ref="B4:C4"/>
    <mergeCell ref="B2:D2"/>
  </mergeCells>
  <conditionalFormatting sqref="K7">
    <cfRule type="containsText" dxfId="44" priority="13" operator="containsText" text="Deferred">
      <formula>NOT(ISERROR(SEARCH("Deferred",K7)))</formula>
    </cfRule>
    <cfRule type="containsText" dxfId="43" priority="14" operator="containsText" text="Closed">
      <formula>NOT(ISERROR(SEARCH("Closed",K7)))</formula>
    </cfRule>
    <cfRule type="containsText" dxfId="42" priority="15" operator="containsText" text="In Work">
      <formula>NOT(ISERROR(SEARCH("In Work",K7)))</formula>
    </cfRule>
  </conditionalFormatting>
  <conditionalFormatting sqref="K7">
    <cfRule type="containsText" dxfId="41" priority="12" operator="containsText" text="Rejected">
      <formula>NOT(ISERROR(SEARCH("Rejected",K7)))</formula>
    </cfRule>
  </conditionalFormatting>
  <conditionalFormatting sqref="H7">
    <cfRule type="containsText" dxfId="40" priority="9" operator="containsText" text="Trivial">
      <formula>NOT(ISERROR(SEARCH("Trivial",H7)))</formula>
    </cfRule>
    <cfRule type="containsText" dxfId="39" priority="10" operator="containsText" text="Minor">
      <formula>NOT(ISERROR(SEARCH("Minor",H7)))</formula>
    </cfRule>
    <cfRule type="containsText" dxfId="38" priority="11" operator="containsText" text="Major">
      <formula>NOT(ISERROR(SEARCH("Major",H7)))</formula>
    </cfRule>
  </conditionalFormatting>
  <conditionalFormatting sqref="J7">
    <cfRule type="containsText" dxfId="37" priority="5" operator="containsText" text="Rejected">
      <formula>NOT(ISERROR(SEARCH("Rejected",J7)))</formula>
    </cfRule>
    <cfRule type="containsText" dxfId="36" priority="6" operator="containsText" text="Deferred">
      <formula>NOT(ISERROR(SEARCH("Deferred",J7)))</formula>
    </cfRule>
    <cfRule type="containsText" dxfId="35" priority="7" operator="containsText" text="To Discuss">
      <formula>NOT(ISERROR(SEARCH("To Discuss",J7)))</formula>
    </cfRule>
    <cfRule type="containsText" dxfId="34" priority="8" operator="containsText" text="Accepted">
      <formula>NOT(ISERROR(SEARCH("Accepted",J7)))</formula>
    </cfRule>
  </conditionalFormatting>
  <conditionalFormatting sqref="K7">
    <cfRule type="containsText" dxfId="33" priority="4" operator="containsText" text="To Start">
      <formula>NOT(ISERROR(SEARCH("To Start",K7)))</formula>
    </cfRule>
  </conditionalFormatting>
  <conditionalFormatting sqref="L7">
    <cfRule type="containsText" dxfId="32" priority="3" operator="containsText" text="Verified">
      <formula>NOT(ISERROR(SEARCH("Verified",L7)))</formula>
    </cfRule>
  </conditionalFormatting>
  <conditionalFormatting sqref="L7">
    <cfRule type="containsText" dxfId="31" priority="2" operator="containsText" text="Not Applicable">
      <formula>NOT(ISERROR(SEARCH("Not Applicable",L7)))</formula>
    </cfRule>
  </conditionalFormatting>
  <conditionalFormatting sqref="L7">
    <cfRule type="containsText" dxfId="30" priority="1" operator="containsText" text="Not Verified">
      <formula>NOT(ISERROR(SEARCH("Not Verified",L7)))</formula>
    </cfRule>
  </conditionalFormatting>
  <dataValidations count="5">
    <dataValidation type="list" allowBlank="1" showInputMessage="1" showErrorMessage="1" sqref="H7" xr:uid="{00000000-0002-0000-0200-000000000000}">
      <formula1>"Major, Minor, Trivial"</formula1>
    </dataValidation>
    <dataValidation type="list" allowBlank="1" showInputMessage="1" showErrorMessage="1" sqref="L7" xr:uid="{00000000-0002-0000-0200-000001000000}">
      <formula1>"Verified, Not Verified, Not Applicable"</formula1>
    </dataValidation>
    <dataValidation type="list" allowBlank="1" showInputMessage="1" showErrorMessage="1" sqref="J7" xr:uid="{00000000-0002-0000-0200-000002000000}">
      <formula1>"Accepted, To Discuss, Rejected"</formula1>
    </dataValidation>
    <dataValidation type="list" allowBlank="1" showInputMessage="1" showErrorMessage="1" sqref="K7" xr:uid="{00000000-0002-0000-0200-000003000000}">
      <formula1>"To Start, In Work, Closed, Rejected"</formula1>
    </dataValidation>
    <dataValidation type="list" allowBlank="1" showInputMessage="1" showErrorMessage="1" sqref="F7" xr:uid="{0A0A9EFB-6A56-4917-96EB-FD70AA4DF43D}">
      <formula1>Provider</formula1>
    </dataValidation>
  </dataValidations>
  <pageMargins left="0.7" right="0.7" top="0.75" bottom="0.75" header="0.3" footer="0.3"/>
  <pageSetup paperSize="9" scale="3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References!$C$5:$C$7</xm:f>
          </x14:formula1>
          <xm:sqref>D7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T7"/>
  <sheetViews>
    <sheetView showGridLines="0" zoomScaleNormal="100" workbookViewId="0"/>
  </sheetViews>
  <sheetFormatPr defaultColWidth="9.140625" defaultRowHeight="15" x14ac:dyDescent="0.25"/>
  <cols>
    <col min="1" max="1" width="2" style="1" customWidth="1"/>
    <col min="2" max="2" width="8.5703125" style="1" customWidth="1"/>
    <col min="3" max="3" width="13.140625" style="1" customWidth="1"/>
    <col min="4" max="4" width="26.85546875" style="1" customWidth="1"/>
    <col min="5" max="6" width="15.28515625" style="1" customWidth="1"/>
    <col min="7" max="7" width="41.5703125" style="1" customWidth="1"/>
    <col min="8" max="8" width="16.28515625" style="2" customWidth="1"/>
    <col min="9" max="9" width="42.5703125" style="1" customWidth="1"/>
    <col min="10" max="10" width="19.7109375" style="1" customWidth="1"/>
    <col min="11" max="11" width="17.7109375" style="1" customWidth="1"/>
    <col min="12" max="12" width="16.5703125" style="1" customWidth="1"/>
    <col min="13" max="16384" width="9.140625" style="1"/>
  </cols>
  <sheetData>
    <row r="1" spans="2:20" ht="8.25" customHeight="1" x14ac:dyDescent="0.25"/>
    <row r="2" spans="2:20" ht="21" customHeight="1" x14ac:dyDescent="0.25">
      <c r="B2" s="76" t="s">
        <v>24</v>
      </c>
      <c r="C2" s="76"/>
      <c r="D2" s="76"/>
      <c r="E2" s="2"/>
      <c r="F2" s="2"/>
      <c r="G2" s="2"/>
    </row>
    <row r="3" spans="2:20" ht="4.5" customHeight="1" x14ac:dyDescent="0.25"/>
    <row r="4" spans="2:20" ht="21" customHeight="1" x14ac:dyDescent="0.25">
      <c r="B4" s="77" t="s">
        <v>25</v>
      </c>
      <c r="C4" s="77"/>
      <c r="D4" s="6" t="s">
        <v>93</v>
      </c>
      <c r="H4" s="1"/>
    </row>
    <row r="5" spans="2:20" ht="5.25" customHeight="1" x14ac:dyDescent="0.25"/>
    <row r="6" spans="2:20" ht="63" customHeight="1" x14ac:dyDescent="0.25">
      <c r="B6" s="24" t="s">
        <v>3</v>
      </c>
      <c r="C6" s="24" t="s">
        <v>0</v>
      </c>
      <c r="D6" s="36" t="s">
        <v>44</v>
      </c>
      <c r="E6" s="26" t="s">
        <v>48</v>
      </c>
      <c r="F6" s="26" t="s">
        <v>91</v>
      </c>
      <c r="G6" s="26" t="s">
        <v>31</v>
      </c>
      <c r="H6" s="25" t="s">
        <v>30</v>
      </c>
      <c r="I6" s="25" t="s">
        <v>26</v>
      </c>
      <c r="J6" s="27" t="s">
        <v>51</v>
      </c>
      <c r="K6" s="27" t="s">
        <v>34</v>
      </c>
      <c r="L6" s="27" t="s">
        <v>52</v>
      </c>
    </row>
    <row r="7" spans="2:20" ht="39" customHeight="1" x14ac:dyDescent="0.25">
      <c r="B7" s="28">
        <v>1</v>
      </c>
      <c r="C7" s="29">
        <v>45051</v>
      </c>
      <c r="D7" s="22"/>
      <c r="E7" s="30"/>
      <c r="F7" s="30"/>
      <c r="G7" s="32" t="s">
        <v>120</v>
      </c>
      <c r="H7" s="33"/>
      <c r="I7" s="22"/>
      <c r="J7" s="22"/>
      <c r="K7" s="22"/>
      <c r="L7" s="22"/>
      <c r="M7" s="5"/>
      <c r="N7" s="5"/>
      <c r="O7" s="4"/>
      <c r="P7" s="3"/>
      <c r="Q7" s="3"/>
      <c r="R7" s="3"/>
      <c r="S7" s="3"/>
      <c r="T7" s="3"/>
    </row>
  </sheetData>
  <mergeCells count="2">
    <mergeCell ref="B4:C4"/>
    <mergeCell ref="B2:D2"/>
  </mergeCells>
  <conditionalFormatting sqref="K7">
    <cfRule type="containsText" dxfId="29" priority="13" operator="containsText" text="Deferred">
      <formula>NOT(ISERROR(SEARCH("Deferred",K7)))</formula>
    </cfRule>
    <cfRule type="containsText" dxfId="28" priority="14" operator="containsText" text="Closed">
      <formula>NOT(ISERROR(SEARCH("Closed",K7)))</formula>
    </cfRule>
    <cfRule type="containsText" dxfId="27" priority="15" operator="containsText" text="In Work">
      <formula>NOT(ISERROR(SEARCH("In Work",K7)))</formula>
    </cfRule>
  </conditionalFormatting>
  <conditionalFormatting sqref="K7">
    <cfRule type="containsText" dxfId="26" priority="12" operator="containsText" text="Rejected">
      <formula>NOT(ISERROR(SEARCH("Rejected",K7)))</formula>
    </cfRule>
  </conditionalFormatting>
  <conditionalFormatting sqref="H7">
    <cfRule type="containsText" dxfId="25" priority="9" operator="containsText" text="Trivial">
      <formula>NOT(ISERROR(SEARCH("Trivial",H7)))</formula>
    </cfRule>
    <cfRule type="containsText" dxfId="24" priority="10" operator="containsText" text="Minor">
      <formula>NOT(ISERROR(SEARCH("Minor",H7)))</formula>
    </cfRule>
    <cfRule type="containsText" dxfId="23" priority="11" operator="containsText" text="Major">
      <formula>NOT(ISERROR(SEARCH("Major",H7)))</formula>
    </cfRule>
  </conditionalFormatting>
  <conditionalFormatting sqref="J7">
    <cfRule type="containsText" dxfId="22" priority="5" operator="containsText" text="Rejected">
      <formula>NOT(ISERROR(SEARCH("Rejected",J7)))</formula>
    </cfRule>
    <cfRule type="containsText" dxfId="21" priority="6" operator="containsText" text="Deferred">
      <formula>NOT(ISERROR(SEARCH("Deferred",J7)))</formula>
    </cfRule>
    <cfRule type="containsText" dxfId="20" priority="7" operator="containsText" text="To Discuss">
      <formula>NOT(ISERROR(SEARCH("To Discuss",J7)))</formula>
    </cfRule>
    <cfRule type="containsText" dxfId="19" priority="8" operator="containsText" text="Accepted">
      <formula>NOT(ISERROR(SEARCH("Accepted",J7)))</formula>
    </cfRule>
  </conditionalFormatting>
  <conditionalFormatting sqref="K7">
    <cfRule type="containsText" dxfId="18" priority="4" operator="containsText" text="To Start">
      <formula>NOT(ISERROR(SEARCH("To Start",K7)))</formula>
    </cfRule>
  </conditionalFormatting>
  <conditionalFormatting sqref="L7">
    <cfRule type="containsText" dxfId="17" priority="3" operator="containsText" text="Verified">
      <formula>NOT(ISERROR(SEARCH("Verified",L7)))</formula>
    </cfRule>
  </conditionalFormatting>
  <conditionalFormatting sqref="L7">
    <cfRule type="containsText" dxfId="16" priority="2" operator="containsText" text="Not Applicable">
      <formula>NOT(ISERROR(SEARCH("Not Applicable",L7)))</formula>
    </cfRule>
  </conditionalFormatting>
  <conditionalFormatting sqref="L7">
    <cfRule type="containsText" dxfId="15" priority="1" operator="containsText" text="Not Verified">
      <formula>NOT(ISERROR(SEARCH("Not Verified",L7)))</formula>
    </cfRule>
  </conditionalFormatting>
  <dataValidations count="5">
    <dataValidation type="list" allowBlank="1" showInputMessage="1" showErrorMessage="1" sqref="K7" xr:uid="{00000000-0002-0000-0300-000000000000}">
      <formula1>"To Start, In Work, Closed, Rejected"</formula1>
    </dataValidation>
    <dataValidation type="list" allowBlank="1" showInputMessage="1" showErrorMessage="1" sqref="J7" xr:uid="{00000000-0002-0000-0300-000001000000}">
      <formula1>"Accepted, To Discuss, Rejected"</formula1>
    </dataValidation>
    <dataValidation type="list" allowBlank="1" showInputMessage="1" showErrorMessage="1" sqref="L7" xr:uid="{00000000-0002-0000-0300-000002000000}">
      <formula1>"Verified, Not Verified, Not Applicable"</formula1>
    </dataValidation>
    <dataValidation type="list" allowBlank="1" showInputMessage="1" showErrorMessage="1" sqref="H7" xr:uid="{00000000-0002-0000-0300-000003000000}">
      <formula1>"Major, Minor, Trivial"</formula1>
    </dataValidation>
    <dataValidation type="list" allowBlank="1" showInputMessage="1" showErrorMessage="1" sqref="F7" xr:uid="{B34FC3A3-1BDA-4987-A867-0F03EF6E8876}">
      <formula1>Consumer</formula1>
    </dataValidation>
  </dataValidations>
  <pageMargins left="0.7" right="0.7" top="0.75" bottom="0.75" header="0.3" footer="0.3"/>
  <pageSetup paperSize="9" scale="3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4000000}">
          <x14:formula1>
            <xm:f>References!$C$5:$C$7</xm:f>
          </x14:formula1>
          <xm:sqref>D7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B1:T11"/>
  <sheetViews>
    <sheetView showGridLines="0" zoomScaleNormal="100" workbookViewId="0"/>
  </sheetViews>
  <sheetFormatPr defaultColWidth="9.140625" defaultRowHeight="15" x14ac:dyDescent="0.25"/>
  <cols>
    <col min="1" max="1" width="1.5703125" style="1" customWidth="1"/>
    <col min="2" max="2" width="7.7109375" style="1" customWidth="1"/>
    <col min="3" max="3" width="13.140625" style="1" customWidth="1"/>
    <col min="4" max="4" width="27" style="1" customWidth="1"/>
    <col min="5" max="6" width="15.28515625" style="1" customWidth="1"/>
    <col min="7" max="7" width="40.5703125" style="1" customWidth="1"/>
    <col min="8" max="8" width="16.28515625" style="2" customWidth="1"/>
    <col min="9" max="9" width="42.5703125" style="1" customWidth="1"/>
    <col min="10" max="10" width="19.7109375" style="1" customWidth="1"/>
    <col min="11" max="11" width="17.7109375" style="1" customWidth="1"/>
    <col min="12" max="12" width="16.5703125" style="1" customWidth="1"/>
    <col min="13" max="16384" width="9.140625" style="1"/>
  </cols>
  <sheetData>
    <row r="1" spans="2:20" ht="8.25" customHeight="1" x14ac:dyDescent="0.25"/>
    <row r="2" spans="2:20" ht="21" customHeight="1" x14ac:dyDescent="0.25">
      <c r="B2" s="76" t="s">
        <v>24</v>
      </c>
      <c r="C2" s="76"/>
      <c r="D2" s="76"/>
      <c r="E2" s="2"/>
      <c r="F2" s="2"/>
      <c r="G2" s="2"/>
    </row>
    <row r="3" spans="2:20" ht="4.5" customHeight="1" x14ac:dyDescent="0.25"/>
    <row r="4" spans="2:20" ht="21" customHeight="1" x14ac:dyDescent="0.25">
      <c r="B4" s="77" t="s">
        <v>25</v>
      </c>
      <c r="C4" s="77"/>
      <c r="D4" s="6" t="s">
        <v>83</v>
      </c>
      <c r="H4" s="1"/>
    </row>
    <row r="5" spans="2:20" ht="5.25" customHeight="1" x14ac:dyDescent="0.25"/>
    <row r="6" spans="2:20" ht="63" customHeight="1" x14ac:dyDescent="0.25">
      <c r="B6" s="24" t="s">
        <v>3</v>
      </c>
      <c r="C6" s="24" t="s">
        <v>0</v>
      </c>
      <c r="D6" s="36" t="s">
        <v>44</v>
      </c>
      <c r="E6" s="26" t="s">
        <v>48</v>
      </c>
      <c r="F6" s="26" t="s">
        <v>91</v>
      </c>
      <c r="G6" s="26" t="s">
        <v>31</v>
      </c>
      <c r="H6" s="25" t="s">
        <v>30</v>
      </c>
      <c r="I6" s="25" t="s">
        <v>26</v>
      </c>
      <c r="J6" s="27" t="s">
        <v>51</v>
      </c>
      <c r="K6" s="27" t="s">
        <v>34</v>
      </c>
      <c r="L6" s="27" t="s">
        <v>52</v>
      </c>
    </row>
    <row r="7" spans="2:20" ht="57" customHeight="1" x14ac:dyDescent="0.25">
      <c r="B7" s="28">
        <v>1</v>
      </c>
      <c r="C7" s="29">
        <v>45051</v>
      </c>
      <c r="D7" s="52" t="s">
        <v>113</v>
      </c>
      <c r="E7" s="30" t="s">
        <v>114</v>
      </c>
      <c r="F7" s="30" t="s">
        <v>115</v>
      </c>
      <c r="G7" s="31" t="s">
        <v>99</v>
      </c>
      <c r="H7" s="32" t="s">
        <v>28</v>
      </c>
      <c r="I7" s="22" t="s">
        <v>104</v>
      </c>
      <c r="J7" s="22" t="s">
        <v>103</v>
      </c>
      <c r="K7" s="22" t="s">
        <v>105</v>
      </c>
      <c r="L7" s="22" t="s">
        <v>106</v>
      </c>
      <c r="M7" s="5"/>
      <c r="N7" s="5"/>
      <c r="O7" s="4"/>
      <c r="P7" s="3"/>
      <c r="Q7" s="3"/>
      <c r="R7" s="3"/>
      <c r="S7" s="3"/>
      <c r="T7" s="3"/>
    </row>
    <row r="8" spans="2:20" ht="45" customHeight="1" x14ac:dyDescent="0.25">
      <c r="B8" s="28">
        <v>2</v>
      </c>
      <c r="C8" s="29">
        <v>45051</v>
      </c>
      <c r="D8" s="52" t="s">
        <v>113</v>
      </c>
      <c r="E8" s="30" t="s">
        <v>116</v>
      </c>
      <c r="F8" s="30" t="s">
        <v>115</v>
      </c>
      <c r="G8" s="31" t="s">
        <v>100</v>
      </c>
      <c r="H8" s="32" t="s">
        <v>28</v>
      </c>
      <c r="I8" s="22" t="s">
        <v>104</v>
      </c>
      <c r="J8" s="22" t="s">
        <v>103</v>
      </c>
      <c r="K8" s="22" t="s">
        <v>105</v>
      </c>
      <c r="L8" s="22" t="s">
        <v>106</v>
      </c>
      <c r="M8" s="5"/>
      <c r="N8" s="5"/>
      <c r="O8" s="4"/>
      <c r="P8" s="3"/>
      <c r="Q8" s="3"/>
      <c r="R8" s="3"/>
      <c r="S8" s="3"/>
      <c r="T8" s="3"/>
    </row>
    <row r="9" spans="2:20" ht="54" customHeight="1" x14ac:dyDescent="0.25">
      <c r="B9" s="28">
        <v>3</v>
      </c>
      <c r="C9" s="29">
        <v>45051</v>
      </c>
      <c r="D9" s="52" t="s">
        <v>113</v>
      </c>
      <c r="E9" s="30" t="s">
        <v>117</v>
      </c>
      <c r="F9" s="30" t="s">
        <v>90</v>
      </c>
      <c r="G9" s="31" t="s">
        <v>101</v>
      </c>
      <c r="H9" s="32" t="s">
        <v>28</v>
      </c>
      <c r="I9" s="22" t="s">
        <v>104</v>
      </c>
      <c r="J9" s="22" t="s">
        <v>103</v>
      </c>
      <c r="K9" s="22" t="s">
        <v>105</v>
      </c>
      <c r="L9" s="22" t="s">
        <v>106</v>
      </c>
      <c r="M9" s="5"/>
      <c r="N9" s="5"/>
      <c r="O9" s="4"/>
      <c r="P9" s="3"/>
      <c r="Q9" s="3"/>
      <c r="R9" s="3"/>
      <c r="S9" s="3"/>
      <c r="T9" s="3"/>
    </row>
    <row r="10" spans="2:20" ht="21.75" customHeight="1" x14ac:dyDescent="0.25">
      <c r="B10" s="28">
        <v>4</v>
      </c>
      <c r="C10" s="29">
        <v>45051</v>
      </c>
      <c r="D10" s="52" t="s">
        <v>113</v>
      </c>
      <c r="E10" s="30" t="s">
        <v>118</v>
      </c>
      <c r="F10" s="30" t="s">
        <v>90</v>
      </c>
      <c r="G10" s="31" t="s">
        <v>102</v>
      </c>
      <c r="H10" s="32" t="s">
        <v>28</v>
      </c>
      <c r="I10" s="22" t="s">
        <v>104</v>
      </c>
      <c r="J10" s="22" t="s">
        <v>103</v>
      </c>
      <c r="K10" s="22" t="s">
        <v>105</v>
      </c>
      <c r="L10" s="22" t="s">
        <v>106</v>
      </c>
      <c r="M10" s="5"/>
      <c r="N10" s="5"/>
      <c r="O10" s="4"/>
      <c r="P10" s="3"/>
      <c r="Q10" s="3"/>
      <c r="R10" s="3"/>
      <c r="S10" s="3"/>
      <c r="T10" s="3"/>
    </row>
    <row r="11" spans="2:20" x14ac:dyDescent="0.25">
      <c r="D11" s="4"/>
      <c r="E11" s="4"/>
      <c r="F11" s="4"/>
      <c r="G11" s="4"/>
      <c r="H11" s="4"/>
      <c r="I11" s="4"/>
      <c r="J11" s="4"/>
      <c r="K11" s="4"/>
      <c r="L11" s="4"/>
      <c r="M11" s="4"/>
      <c r="N11" s="4"/>
      <c r="O11" s="4"/>
      <c r="P11" s="3"/>
      <c r="Q11" s="3"/>
      <c r="R11" s="3"/>
      <c r="S11" s="3"/>
      <c r="T11" s="3"/>
    </row>
  </sheetData>
  <mergeCells count="2">
    <mergeCell ref="B4:C4"/>
    <mergeCell ref="B2:D2"/>
  </mergeCells>
  <conditionalFormatting sqref="K7:K10">
    <cfRule type="containsText" dxfId="14" priority="13" operator="containsText" text="Deferred">
      <formula>NOT(ISERROR(SEARCH("Deferred",K7)))</formula>
    </cfRule>
    <cfRule type="containsText" dxfId="13" priority="14" operator="containsText" text="Closed">
      <formula>NOT(ISERROR(SEARCH("Closed",K7)))</formula>
    </cfRule>
    <cfRule type="containsText" dxfId="12" priority="15" operator="containsText" text="In Work">
      <formula>NOT(ISERROR(SEARCH("In Work",K7)))</formula>
    </cfRule>
  </conditionalFormatting>
  <conditionalFormatting sqref="K7:K10">
    <cfRule type="containsText" dxfId="11" priority="12" operator="containsText" text="Rejected">
      <formula>NOT(ISERROR(SEARCH("Rejected",K7)))</formula>
    </cfRule>
  </conditionalFormatting>
  <conditionalFormatting sqref="J7:J10">
    <cfRule type="containsText" dxfId="10" priority="8" operator="containsText" text="Rejected">
      <formula>NOT(ISERROR(SEARCH("Rejected",J7)))</formula>
    </cfRule>
    <cfRule type="containsText" dxfId="9" priority="9" operator="containsText" text="Deferred">
      <formula>NOT(ISERROR(SEARCH("Deferred",J7)))</formula>
    </cfRule>
    <cfRule type="containsText" dxfId="8" priority="10" operator="containsText" text="To Discuss">
      <formula>NOT(ISERROR(SEARCH("To Discuss",J7)))</formula>
    </cfRule>
    <cfRule type="containsText" dxfId="7" priority="11" operator="containsText" text="Accepted">
      <formula>NOT(ISERROR(SEARCH("Accepted",J7)))</formula>
    </cfRule>
  </conditionalFormatting>
  <conditionalFormatting sqref="K7:K10">
    <cfRule type="containsText" dxfId="6" priority="7" operator="containsText" text="To Start">
      <formula>NOT(ISERROR(SEARCH("To Start",K7)))</formula>
    </cfRule>
  </conditionalFormatting>
  <conditionalFormatting sqref="L7:L10">
    <cfRule type="containsText" dxfId="5" priority="6" operator="containsText" text="Verified">
      <formula>NOT(ISERROR(SEARCH("Verified",L7)))</formula>
    </cfRule>
  </conditionalFormatting>
  <conditionalFormatting sqref="L7:L10">
    <cfRule type="containsText" dxfId="4" priority="5" operator="containsText" text="Not Applicable">
      <formula>NOT(ISERROR(SEARCH("Not Applicable",L7)))</formula>
    </cfRule>
  </conditionalFormatting>
  <conditionalFormatting sqref="L7:L10">
    <cfRule type="containsText" dxfId="3" priority="4" operator="containsText" text="Not Verified">
      <formula>NOT(ISERROR(SEARCH("Not Verified",L7)))</formula>
    </cfRule>
  </conditionalFormatting>
  <conditionalFormatting sqref="H7:H10">
    <cfRule type="containsText" dxfId="2" priority="1" operator="containsText" text="Trivial">
      <formula>NOT(ISERROR(SEARCH("Trivial",H7)))</formula>
    </cfRule>
    <cfRule type="containsText" dxfId="1" priority="2" operator="containsText" text="Minor">
      <formula>NOT(ISERROR(SEARCH("Minor",H7)))</formula>
    </cfRule>
    <cfRule type="containsText" dxfId="0" priority="3" operator="containsText" text="Major">
      <formula>NOT(ISERROR(SEARCH("Major",H7)))</formula>
    </cfRule>
  </conditionalFormatting>
  <dataValidations count="5">
    <dataValidation type="list" allowBlank="1" showInputMessage="1" showErrorMessage="1" sqref="H7:H10" xr:uid="{00000000-0002-0000-0400-000000000000}">
      <formula1>"Major, Minor, Trivial"</formula1>
    </dataValidation>
    <dataValidation type="list" allowBlank="1" showInputMessage="1" showErrorMessage="1" sqref="L7:L10" xr:uid="{00000000-0002-0000-0400-000001000000}">
      <formula1>"Verified, Not Verified, Not Applicable"</formula1>
    </dataValidation>
    <dataValidation type="list" allowBlank="1" showInputMessage="1" showErrorMessage="1" sqref="J7:J10" xr:uid="{00000000-0002-0000-0400-000002000000}">
      <formula1>"Accepted, To Discuss, Rejected"</formula1>
    </dataValidation>
    <dataValidation type="list" allowBlank="1" showInputMessage="1" showErrorMessage="1" sqref="K7:K10" xr:uid="{00000000-0002-0000-0400-000003000000}">
      <formula1>"To Start, In Work, Closed, Rejected"</formula1>
    </dataValidation>
    <dataValidation type="list" allowBlank="1" showInputMessage="1" showErrorMessage="1" sqref="F7:F10" xr:uid="{AA4DA684-0EC2-4651-9BC8-7A79939AE315}">
      <formula1>QualityCM</formula1>
    </dataValidation>
  </dataValidations>
  <pageMargins left="0.7" right="0.7" top="0.75" bottom="0.75" header="0.3" footer="0.3"/>
  <pageSetup paperSize="9" scale="40"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FD7AF0C4-C27E-448B-8095-607231FC96B9}">
          <x14:formula1>
            <xm:f>'C:\Users\nandini.mekala\AppData\Local\Microsoft\Windows\INetCache\Content.Outlook\2SXWVTBR\[SafeAdaptiveR2011-APCORE-SAR_V1.0.0_PRR (002).XLSM]References'!#REF!</xm:f>
          </x14:formula1>
          <xm:sqref>D7:D10</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Summary</vt:lpstr>
      <vt:lpstr>References</vt:lpstr>
      <vt:lpstr>Review Checks</vt:lpstr>
      <vt:lpstr>Defect Log-Omkarnath</vt:lpstr>
      <vt:lpstr>Defect Log-Mooga Venkatesh</vt:lpstr>
      <vt:lpstr>Defect Log-Noolu Narendra Reddy</vt:lpstr>
      <vt:lpstr>Summary!Print_Area</vt:lpstr>
    </vt:vector>
  </TitlesOfParts>
  <Manager/>
  <Company>AVIN Systems Private Limited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Peer Review Record of SafeAdaptiveR2011-APCORE-SAR</dc:title>
  <dc:creator>AVIN Systems Private Limited</dc:creator>
  <dc:description>V 2.5</dc:description>
  <cp:lastModifiedBy>Mekala Nava Nandini</cp:lastModifiedBy>
  <cp:lastPrinted>2023-04-13T11:29:58Z</cp:lastPrinted>
  <dcterms:created xsi:type="dcterms:W3CDTF">2006-09-16T00:00:00Z</dcterms:created>
  <dcterms:modified xsi:type="dcterms:W3CDTF">2023-05-31T04:35:33Z</dcterms:modified>
</cp:coreProperties>
</file>